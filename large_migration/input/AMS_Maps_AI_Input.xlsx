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hauoraaotearoa-my.sharepoint.com/personal/emma_dewit_tewhatuora_govt_nz/Documents/"/>
    </mc:Choice>
  </mc:AlternateContent>
  <xr:revisionPtr revIDLastSave="47" documentId="8_{64F30033-6738-4E58-8C44-B05340D2327B}" xr6:coauthVersionLast="47" xr6:coauthVersionMax="47" xr10:uidLastSave="{46CBD9D8-29B6-4AC8-B71F-4D3339F6117C}"/>
  <bookViews>
    <workbookView xWindow="-10770" yWindow="-21720" windowWidth="51840" windowHeight="21120" tabRatio="792" firstSheet="4" activeTab="4" xr2:uid="{E8856BC0-452C-4F2C-8441-17A3E2529543}"/>
  </bookViews>
  <sheets>
    <sheet name="Mapping_Status" sheetId="39" state="hidden" r:id="rId1"/>
    <sheet name="Questions" sheetId="24" state="hidden" r:id="rId2"/>
    <sheet name="Contracts_Sample_Data_1804" sheetId="27" state="hidden" r:id="rId3"/>
    <sheet name="Contract Type Nos" sheetId="44" state="hidden" r:id="rId4"/>
    <sheet name="Additionalinfo_22072025" sheetId="49" r:id="rId5"/>
    <sheet name="Additional information-1July24" sheetId="40" state="hidden" r:id="rId6"/>
    <sheet name="5-Jul-24 AddlinfoDel" sheetId="43" state="hidden" r:id="rId7"/>
  </sheets>
  <definedNames>
    <definedName name="_xlnm._FilterDatabase" localSheetId="5" hidden="1">'Additional information-1July24'!$A$1:$R$130</definedName>
    <definedName name="_xlnm._FilterDatabase" localSheetId="4" hidden="1">Additionalinfo_22072025!$A$1:$S$111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0" l="1"/>
  <c r="B4" i="40"/>
  <c r="B5" i="40"/>
  <c r="B6" i="40"/>
  <c r="B7" i="40"/>
  <c r="B8" i="40"/>
  <c r="B9" i="40"/>
  <c r="B10" i="40"/>
  <c r="B11" i="40"/>
  <c r="B12" i="40"/>
  <c r="B13" i="40"/>
  <c r="B14" i="40"/>
  <c r="B15" i="40"/>
  <c r="B16" i="40"/>
  <c r="B17" i="40"/>
  <c r="B18" i="40"/>
  <c r="B19" i="40"/>
  <c r="B20" i="40"/>
  <c r="B21" i="40"/>
  <c r="B22" i="40"/>
  <c r="B23" i="40"/>
  <c r="B24" i="40"/>
  <c r="B25" i="40"/>
  <c r="B26" i="40"/>
  <c r="B27" i="40"/>
  <c r="B28" i="40"/>
  <c r="B29" i="40"/>
  <c r="B30" i="40"/>
  <c r="B31" i="40"/>
  <c r="B32" i="40"/>
  <c r="B33" i="40"/>
  <c r="B34" i="40"/>
  <c r="B35" i="40"/>
  <c r="B36" i="40"/>
  <c r="B37" i="40"/>
  <c r="B38" i="40"/>
  <c r="B39" i="40"/>
  <c r="B40" i="40"/>
  <c r="B41" i="40"/>
  <c r="B42" i="40"/>
  <c r="B43" i="40"/>
  <c r="B44" i="40"/>
  <c r="B45" i="40"/>
  <c r="B46" i="40"/>
  <c r="B47" i="40"/>
  <c r="B48" i="40"/>
  <c r="B49" i="40"/>
  <c r="B50" i="40"/>
  <c r="B51" i="40"/>
  <c r="B52" i="40"/>
  <c r="B53" i="40"/>
  <c r="B54" i="40"/>
  <c r="B55" i="40"/>
  <c r="B56" i="40"/>
  <c r="B57" i="40"/>
  <c r="B58" i="40"/>
  <c r="B59" i="40"/>
  <c r="B60" i="40"/>
  <c r="B61" i="40"/>
  <c r="B62" i="40"/>
  <c r="B63" i="40"/>
  <c r="B64" i="40"/>
  <c r="B65" i="40"/>
  <c r="B66" i="40"/>
  <c r="B67" i="40"/>
  <c r="B68" i="40"/>
  <c r="B69" i="40"/>
  <c r="B70" i="40"/>
  <c r="B71" i="40"/>
  <c r="B72" i="40"/>
  <c r="B73" i="40"/>
  <c r="B74" i="40"/>
  <c r="B75" i="40"/>
  <c r="B76" i="40"/>
  <c r="B77" i="40"/>
  <c r="B78" i="40"/>
  <c r="B79" i="40"/>
  <c r="B80" i="40"/>
  <c r="B81" i="40"/>
  <c r="B82" i="40"/>
  <c r="B83" i="40"/>
  <c r="B84" i="40"/>
  <c r="B85" i="40"/>
  <c r="B86" i="40"/>
  <c r="B87" i="40"/>
  <c r="B88" i="40"/>
  <c r="B89" i="40"/>
  <c r="B90" i="40"/>
  <c r="B91" i="40"/>
  <c r="B92" i="40"/>
  <c r="B93" i="40"/>
  <c r="B94" i="40"/>
  <c r="B95" i="40"/>
  <c r="B96" i="40"/>
  <c r="B97" i="40"/>
  <c r="B98" i="40"/>
  <c r="B99" i="40"/>
  <c r="B100" i="40"/>
  <c r="B101" i="40"/>
  <c r="B102" i="40"/>
  <c r="B103" i="40"/>
  <c r="B104" i="40"/>
  <c r="B105" i="40"/>
  <c r="B106" i="40"/>
  <c r="B107" i="40"/>
  <c r="B108" i="40"/>
  <c r="B109" i="40"/>
  <c r="B110" i="40"/>
  <c r="B111" i="40"/>
  <c r="B112" i="40"/>
  <c r="B113" i="40"/>
  <c r="B114" i="40"/>
  <c r="B115" i="40"/>
  <c r="B116" i="40"/>
  <c r="B117" i="40"/>
  <c r="B118" i="40"/>
  <c r="B119" i="40"/>
  <c r="B120" i="40"/>
  <c r="B121" i="40"/>
  <c r="B122" i="40"/>
  <c r="B123" i="40"/>
  <c r="B124" i="40"/>
  <c r="B125" i="40"/>
  <c r="B126" i="40"/>
  <c r="B127" i="40"/>
  <c r="B128" i="40"/>
  <c r="B129" i="40"/>
  <c r="B130" i="40"/>
  <c r="B2" i="40"/>
  <c r="J5" i="39"/>
  <c r="H5" i="39"/>
  <c r="I5" i="39"/>
  <c r="G5" i="39"/>
  <c r="F5" i="39"/>
  <c r="E5" i="39"/>
</calcChain>
</file>

<file path=xl/sharedStrings.xml><?xml version="1.0" encoding="utf-8"?>
<sst xmlns="http://schemas.openxmlformats.org/spreadsheetml/2006/main" count="1888" uniqueCount="861">
  <si>
    <t>Entity</t>
  </si>
  <si>
    <t>Contract</t>
  </si>
  <si>
    <t>1_Pricelist_Details</t>
  </si>
  <si>
    <t>2_priceListGroup</t>
  </si>
  <si>
    <t>3_Pricelist_Item</t>
  </si>
  <si>
    <t>4_Payment_Schedule</t>
  </si>
  <si>
    <t>ContractAttachment</t>
  </si>
  <si>
    <t>Total Number of Fields</t>
  </si>
  <si>
    <t>Mappable Fields</t>
  </si>
  <si>
    <t>Mapped Fields</t>
  </si>
  <si>
    <t>% Mapped (Mappable)</t>
  </si>
  <si>
    <t>Template</t>
  </si>
  <si>
    <t>Field</t>
  </si>
  <si>
    <t>Current Status</t>
  </si>
  <si>
    <t>Action With</t>
  </si>
  <si>
    <t>Mapping Final</t>
  </si>
  <si>
    <t>Nullable</t>
  </si>
  <si>
    <t>type</t>
  </si>
  <si>
    <t xml:space="preserve">Only 4 of the current CTYPEIDs from CM_CONTRACT_Type reference table can be matched to Infy provided ALM2 LOVs for Contract Type - about 1/3rd of ALM2 Eligible contracts have unmapped CTYPEIDs </t>
  </si>
  <si>
    <t>Business: Mentioned looking into contract document sections to derive Contract Type - No final decision yet</t>
  </si>
  <si>
    <t>No</t>
  </si>
  <si>
    <t>contract_manager</t>
  </si>
  <si>
    <t>Mapped to CM_CONTRACT.PRVDRCONTACT, Migration team to Confirm if this is good</t>
  </si>
  <si>
    <t>Migration Team: To understand the functionality of this field and confirm if Finance Manager info is captured in One of the Target Fields)</t>
  </si>
  <si>
    <t>currency_code</t>
  </si>
  <si>
    <t>Need to determine if Contracts with Payment in Currencies other than NZD to be migrated in ALM2</t>
  </si>
  <si>
    <t>Business: Migration team to check with Business if Contracts paid in Foreign Currency are part of ALM2 Migration</t>
  </si>
  <si>
    <t>template_name</t>
  </si>
  <si>
    <t>Dependent of 'type'</t>
  </si>
  <si>
    <t>Business &amp; Infy: Once a business decision is made on Contract Type - Check with Infy on MDM for Contract Types and Template and if this field should be migrated for existing contracts)</t>
  </si>
  <si>
    <t>categories</t>
  </si>
  <si>
    <t>MDM Map for ALM2.Goods Group to be finalized</t>
  </si>
  <si>
    <t>Business: To help understand how to map CM_Contract.Operatinggroupcode to ALM2.Goods Group</t>
  </si>
  <si>
    <t>contract_json</t>
  </si>
  <si>
    <t>Need details on what data goes into this field</t>
  </si>
  <si>
    <t>Migration Team: To check with infy on what goes into this field</t>
  </si>
  <si>
    <t>ext_uniq_supplier</t>
  </si>
  <si>
    <t>Mapped similar to contract.extUniqCode - Confirmation pending</t>
  </si>
  <si>
    <t>Migration Team: To confirm if different names for the same source field</t>
  </si>
  <si>
    <t>F</t>
  </si>
  <si>
    <t>price_list_item_id</t>
  </si>
  <si>
    <t>Looks like an existing field - ext_uniq_price_list_item</t>
  </si>
  <si>
    <t>Migration Team: To confirm with Infy if this field is same as price_list_item_id in both 4_Payment_Schedule and 3_Pricelist_Item</t>
  </si>
  <si>
    <t>Sent to Madan</t>
  </si>
  <si>
    <t>T</t>
  </si>
  <si>
    <t>goods_group</t>
  </si>
  <si>
    <t>Only 31 ServiceIDs from cm_service listed in mdm.item_code (records with cm_service.serviceid not listed here might fail to load)</t>
  </si>
  <si>
    <t>New Question: should this be renamed to CostingMajorSvcsGroup</t>
  </si>
  <si>
    <t>payment_frequency</t>
  </si>
  <si>
    <t>To be Mapped to Derived Payment Frequency at Service Level</t>
  </si>
  <si>
    <t>Business &amp; Infy</t>
  </si>
  <si>
    <t>funding_model</t>
  </si>
  <si>
    <t>Pending with Infy/Business</t>
  </si>
  <si>
    <t>Business &amp; Infy: Need the basis for Mapping/Deriving Funding Model (Confirm if this is applicable for Migration)</t>
  </si>
  <si>
    <t>service_eligibility</t>
  </si>
  <si>
    <t>Additional information required - What should be the source for this field</t>
  </si>
  <si>
    <t>Business &amp; Infy: Need the basis for Mapping/Deriving service eligibility (Confirm if this is applicable for Migration)</t>
  </si>
  <si>
    <t>geographical_specifics</t>
  </si>
  <si>
    <t>List of Pending Regions (Combination of Transitional Funder and DHBs)</t>
  </si>
  <si>
    <t>locality</t>
  </si>
  <si>
    <t>Additional information required - source/basis to derive this field</t>
  </si>
  <si>
    <t>Infy</t>
  </si>
  <si>
    <t>town_city</t>
  </si>
  <si>
    <t>total_amount</t>
  </si>
  <si>
    <t>Need confirmation if Service Level total budget amount is to be migrated</t>
  </si>
  <si>
    <t>service_provision_equity</t>
  </si>
  <si>
    <t>Description of this field is same as service_eligibility - Need clarification</t>
  </si>
  <si>
    <t>item_category</t>
  </si>
  <si>
    <t>Still being worked on by Infosys and HNZ</t>
  </si>
  <si>
    <t>Business &amp; Infy: Need the basis for Mapping/Deriving item_category (Confirm if this is applicable for Migration)</t>
  </si>
  <si>
    <t>requestor</t>
  </si>
  <si>
    <t>Blank Template - Need values to evaluate if this field can be mapped to CMS Source</t>
  </si>
  <si>
    <t>requestor_other_value</t>
  </si>
  <si>
    <t>deliver_to</t>
  </si>
  <si>
    <t>Complete list of values required</t>
  </si>
  <si>
    <t>Pending as of 16/7/24</t>
  </si>
  <si>
    <t>Pricelist_item</t>
  </si>
  <si>
    <t>19.06.24</t>
  </si>
  <si>
    <t>There is supposed to be a 'reference' field at contract header to migrate legacy contract id OR will this go in Additional info as json? How is this synced through to JA to enable contract search in JA?</t>
  </si>
  <si>
    <t>There is one now in 16/04 version</t>
  </si>
  <si>
    <t>Questions</t>
  </si>
  <si>
    <t>Need table structure to migrate collated PDFs</t>
  </si>
  <si>
    <t>Contract Value: What Value to do we Migrate to Contract Value Field, if Total Contract Value is System Generated should we migrate any value to this field?</t>
  </si>
  <si>
    <t>What is version_number in all the entities? Where do we put contract version number? Can it start mid-way say 8?</t>
  </si>
  <si>
    <t>Just version of the record, can't hold cms version</t>
  </si>
  <si>
    <t>Division: The link (Pk-Fk) to MDM.Division, What Transitional Funder in CMS becomes SO</t>
  </si>
  <si>
    <t>Is contract.reference field searchable?</t>
  </si>
  <si>
    <t>Does Division has any implication on Region?</t>
  </si>
  <si>
    <t>email recipients on contract are very sparse joining to corp db.  Are we sure this shouldn't be syscms?</t>
  </si>
  <si>
    <t>Pricelist.pricelist_status: what's the default value we can migrate so it does not trigger any APIs?</t>
  </si>
  <si>
    <t>a join is specified to mdm region but which field is required for</t>
  </si>
  <si>
    <t>pricelist_item.payment_start_days should the name of this field be payment_start_date</t>
  </si>
  <si>
    <t>pricelist_item purchase method,  what is the join for CM_CS_DETAIL_FIN_YEAR.CSDETAILID?</t>
  </si>
  <si>
    <t>pricelist_item.investmentType - Is this field in MDM/what is the basis for this field</t>
  </si>
  <si>
    <t xml:space="preserve">currently for payment schedule with have payment_method_code mapped to purchase method code and vice versa.   </t>
  </si>
  <si>
    <t>pricelist_item.Programme allocation Is this field in MDM/what is the basis for this field</t>
  </si>
  <si>
    <t>Payment_Schedule.payment_status_code - is Automatically Added, should we migrate values to this field</t>
  </si>
  <si>
    <t>payment_schedule.cumulative_amount</t>
  </si>
  <si>
    <t>payment_schedule.cumulative_quantity</t>
  </si>
  <si>
    <t>pricingitem.receipting_method</t>
  </si>
  <si>
    <t>external_code</t>
  </si>
  <si>
    <t>external_supplier_code</t>
  </si>
  <si>
    <t>contract_code</t>
  </si>
  <si>
    <t>project_code</t>
  </si>
  <si>
    <t>title</t>
  </si>
  <si>
    <t>description </t>
  </si>
  <si>
    <t>reference</t>
  </si>
  <si>
    <t>status</t>
  </si>
  <si>
    <t>endDate_type</t>
  </si>
  <si>
    <t>automatic_renewal_month</t>
  </si>
  <si>
    <t>start_Date</t>
  </si>
  <si>
    <t>end_Date</t>
  </si>
  <si>
    <t>hide_value_from_contractor</t>
  </si>
  <si>
    <t>total_contract_value</t>
  </si>
  <si>
    <t>version_number</t>
  </si>
  <si>
    <t>mcd_flag</t>
  </si>
  <si>
    <t>manage_discussions</t>
  </si>
  <si>
    <t>region</t>
  </si>
  <si>
    <t>send_reminder_alert</t>
  </si>
  <si>
    <t>renewal_days_before_end</t>
  </si>
  <si>
    <t>frequency_of_alert</t>
  </si>
  <si>
    <t xml:space="preserve">email_recipient_list </t>
  </si>
  <si>
    <t>cms_100</t>
  </si>
  <si>
    <t>Prov_123</t>
  </si>
  <si>
    <t>Data Migration Agreement</t>
  </si>
  <si>
    <t>Agreement for data migration</t>
  </si>
  <si>
    <t>hello@xy.com</t>
  </si>
  <si>
    <t>Letter of Agreement</t>
  </si>
  <si>
    <t>Fixed</t>
  </si>
  <si>
    <t>NZD</t>
  </si>
  <si>
    <t>N</t>
  </si>
  <si>
    <t>123456.BOP;123456.LKS</t>
  </si>
  <si>
    <t>GG0002;GG0003;GG0004</t>
  </si>
  <si>
    <t>Contract Manager</t>
  </si>
  <si>
    <t>CTYPEID</t>
  </si>
  <si>
    <t>DESCRIPTION</t>
  </si>
  <si>
    <t>CONT_COUNT</t>
  </si>
  <si>
    <t>contract_type_code</t>
  </si>
  <si>
    <t>contract_type_name</t>
  </si>
  <si>
    <t>contract_type_description</t>
  </si>
  <si>
    <t>is_active</t>
  </si>
  <si>
    <t>LONG</t>
  </si>
  <si>
    <t>Long Contract</t>
  </si>
  <si>
    <t>Short Contract</t>
  </si>
  <si>
    <t>SHORT</t>
  </si>
  <si>
    <t>Long Form Agreement</t>
  </si>
  <si>
    <t>LOA</t>
  </si>
  <si>
    <t>Master Services Agreement</t>
  </si>
  <si>
    <t>SERV</t>
  </si>
  <si>
    <t>Service Schedule</t>
  </si>
  <si>
    <t>MAORI</t>
  </si>
  <si>
    <t>Maori Contract</t>
  </si>
  <si>
    <t>DSSN</t>
  </si>
  <si>
    <t>Non Residential</t>
  </si>
  <si>
    <t>Short Form Agreement</t>
  </si>
  <si>
    <t>ASS</t>
  </si>
  <si>
    <t>Assignment</t>
  </si>
  <si>
    <t>Statement of Work</t>
  </si>
  <si>
    <t>VAR</t>
  </si>
  <si>
    <t>Variation</t>
  </si>
  <si>
    <t>ISP</t>
  </si>
  <si>
    <t>Independent Service Provider</t>
  </si>
  <si>
    <t>DSSR</t>
  </si>
  <si>
    <t>DSS Residential</t>
  </si>
  <si>
    <t>PHO</t>
  </si>
  <si>
    <t>Primary Health Organisation</t>
  </si>
  <si>
    <t>AGMSV</t>
  </si>
  <si>
    <t>Agreement for Services</t>
  </si>
  <si>
    <t>INOUT</t>
  </si>
  <si>
    <t>Integrated Outcome</t>
  </si>
  <si>
    <t>ARRC</t>
  </si>
  <si>
    <t>Aged Related Residential Care</t>
  </si>
  <si>
    <t>PUB</t>
  </si>
  <si>
    <t>Public Health Contract</t>
  </si>
  <si>
    <t>Outcomes Services Agreement</t>
  </si>
  <si>
    <t>ui name</t>
  </si>
  <si>
    <t>field name</t>
  </si>
  <si>
    <t>field type</t>
  </si>
  <si>
    <t>description</t>
  </si>
  <si>
    <t>is unique</t>
  </si>
  <si>
    <t>Is_nullable M/O (Mandatory/Optional with inputs from Connor)</t>
  </si>
  <si>
    <t>Source Data Base</t>
  </si>
  <si>
    <t>Source Schema</t>
  </si>
  <si>
    <t xml:space="preserve"> Source Table Name</t>
  </si>
  <si>
    <t xml:space="preserve"> Source Column</t>
  </si>
  <si>
    <t>Source Data Type</t>
  </si>
  <si>
    <t>Source Field Length</t>
  </si>
  <si>
    <t>Selection</t>
  </si>
  <si>
    <t>Mapping Rules</t>
  </si>
  <si>
    <t>Notes</t>
  </si>
  <si>
    <t>Mandatory Field has Null value in CLM2 Contracts</t>
  </si>
  <si>
    <t>funder_2_Outcome Agreement is nullable</t>
  </si>
  <si>
    <t>funder_2_LOA is nullable</t>
  </si>
  <si>
    <t>funder_2_Migration Variation is nullable</t>
  </si>
  <si>
    <t>AMS Agreement Number</t>
  </si>
  <si>
    <t>internalreference</t>
  </si>
  <si>
    <t>varchar(80)</t>
  </si>
  <si>
    <t>Mandatory</t>
  </si>
  <si>
    <t>CLM.Contract</t>
  </si>
  <si>
    <t>concat(CONTRACT.contractid,'-',CONTRACT.version)</t>
  </si>
  <si>
    <t>Division</t>
  </si>
  <si>
    <t>varchar(2000)</t>
  </si>
  <si>
    <t>Which division is this agreement for?</t>
  </si>
  <si>
    <t>division</t>
  </si>
  <si>
    <t>Use this join to select lookup value for name: 
CONTRACT.Transitionalfunder = MDM.Division.division_code</t>
  </si>
  <si>
    <t>Agreement Manager name</t>
  </si>
  <si>
    <t>agree_mang_name</t>
  </si>
  <si>
    <t>SYS</t>
  </si>
  <si>
    <t>SUPPLIER</t>
  </si>
  <si>
    <t>trim(Concat(firstname1,firstname2,name) with &lt;space&gt; as separator)</t>
  </si>
  <si>
    <t>SYS.CONTRACT.CONTRACTMNGR = SYS.SUPPLIER.ID</t>
  </si>
  <si>
    <t>If null or '' (blank) in AMS then default to 'Not in AMS'</t>
  </si>
  <si>
    <t>Agreement Deputy name</t>
  </si>
  <si>
    <t>agree_dept_name</t>
  </si>
  <si>
    <t>trim(Concat(firstname1,firstname2,name) with &lt;space&gt; as separator))</t>
  </si>
  <si>
    <t>SYS.CONTRACT.CONTRACTDEPUTY = SYS.SUPPLIER.ID</t>
  </si>
  <si>
    <t>Agreement Deputy Email Address</t>
  </si>
  <si>
    <t>agree_dept_email</t>
  </si>
  <si>
    <t>Optional</t>
  </si>
  <si>
    <t>EMAIL</t>
  </si>
  <si>
    <t>SYS.CONTRACT.CONTRACTDEPUTY =SYS.SUPPLIER.ID</t>
  </si>
  <si>
    <t>Agreement Request Form</t>
  </si>
  <si>
    <t>agree_req_form</t>
  </si>
  <si>
    <t>Attachment</t>
  </si>
  <si>
    <t>Nothing from AMS to migrate</t>
  </si>
  <si>
    <t>Receipt of the Agreement Request Form</t>
  </si>
  <si>
    <t>agree_agree_reciept</t>
  </si>
  <si>
    <t>datetime</t>
  </si>
  <si>
    <t>Enter the date that the Agreement Request form was received</t>
  </si>
  <si>
    <t>Nothing from AMS to migrate
21/08 (Change #135): Date component from AMS with 00:00:00 as time. Itfosys to apply UTC conversion.</t>
  </si>
  <si>
    <t>Supplier Contact Name</t>
  </si>
  <si>
    <t>Contract Manager Name changed to Supplier Contact Name</t>
  </si>
  <si>
    <t>SYS.CONTRACT.PRVDRCONTACT = SYS.SUPPLIER.ID</t>
  </si>
  <si>
    <t>There are 30+ Contracts in CLM2 List where prvdrcontact is NULL e.g. 376097-00, 378109-00, 347182-07, 383203-01, 344472-07</t>
  </si>
  <si>
    <t>Supplier Contact Email address</t>
  </si>
  <si>
    <t>Contract Manager Email Address changed to Supplier Contact Email address</t>
  </si>
  <si>
    <t>Supplier Reporting Contact Name</t>
  </si>
  <si>
    <t>Performance Reporting Manager Name changed to Supplier Reporting Contact Name</t>
  </si>
  <si>
    <t>SYS.CONTRACT.SupplierMNTRCONTACT = SYS.SUPPLIER.ID</t>
  </si>
  <si>
    <t>800+ Contracts where Suppliermntrcontact is NULL</t>
  </si>
  <si>
    <t>Supplier Reporting Contact Email address</t>
  </si>
  <si>
    <t>Performance Reporting Manager Email Address changed to Supplier Reporting Contact Email address</t>
  </si>
  <si>
    <t>Variation Agreement</t>
  </si>
  <si>
    <t>variation_agreement</t>
  </si>
  <si>
    <t>Boolean</t>
  </si>
  <si>
    <t xml:space="preserve">Is this a Variation to the original agreement?
</t>
  </si>
  <si>
    <t>Default to 'No'</t>
  </si>
  <si>
    <t>Variation Purpose</t>
  </si>
  <si>
    <t>variation_purpose</t>
  </si>
  <si>
    <t>varchar(100)</t>
  </si>
  <si>
    <t>Default to NULL</t>
  </si>
  <si>
    <t>Optional Field</t>
  </si>
  <si>
    <t>Statement of Work Start Date</t>
  </si>
  <si>
    <t>sow_start_date</t>
  </si>
  <si>
    <t>Please state the start date of the Statement of Work which is subject to variation</t>
  </si>
  <si>
    <t>Optional Field
21/08 (Change #135): Date component from AMS with 00:00:00 as time. Itfosys to apply UTC conversion.</t>
  </si>
  <si>
    <t>Original clause subject to variation</t>
  </si>
  <si>
    <t>original_clause_subject_to_variation</t>
  </si>
  <si>
    <t>Text</t>
  </si>
  <si>
    <t>Please state the number and name of the clause(s) in the Original Agreement which are subject to variation.</t>
  </si>
  <si>
    <t>Service Framework (SF)</t>
  </si>
  <si>
    <t>SF_required</t>
  </si>
  <si>
    <t xml:space="preserve">`
</t>
  </si>
  <si>
    <t>Default to "No"</t>
  </si>
  <si>
    <t>Nothing from AMS to migrate
Default to "No"</t>
  </si>
  <si>
    <t>Service Framework (SF): Number of Links</t>
  </si>
  <si>
    <t>SF_number_of_links</t>
  </si>
  <si>
    <t xml:space="preserve">How many schedules should be referenced?
</t>
  </si>
  <si>
    <t>1. Service Framework (SF): Schedule Name</t>
  </si>
  <si>
    <t>SF_schedule_name_1</t>
  </si>
  <si>
    <t>Please provide the name of the service schedule which is relevant to the services outlined in this agreement.</t>
  </si>
  <si>
    <t>1. Service Framework (SF): Publishing Date</t>
  </si>
  <si>
    <t>SF_publishing_date_1</t>
  </si>
  <si>
    <t>Date</t>
  </si>
  <si>
    <t>Please provide the publishing date of the schedule which applies to this agreement</t>
  </si>
  <si>
    <t>2. Service Framework (SF): Schedule Name</t>
  </si>
  <si>
    <t>SF_schedule_name_2</t>
  </si>
  <si>
    <t>2. Service Framework (SF): Publishing Date</t>
  </si>
  <si>
    <t>SF_publishing_date_2</t>
  </si>
  <si>
    <t>Please provide the publishing date of the schedule which applies to this agreement.</t>
  </si>
  <si>
    <t>3. Service Framework (SF): Schedule Name</t>
  </si>
  <si>
    <t>SF_schedule_name_3</t>
  </si>
  <si>
    <t>3. Service Framework (SF): Publishing Date</t>
  </si>
  <si>
    <t>SF_publishing_date_3</t>
  </si>
  <si>
    <t>4. Service Framework (SF): Schedule Name</t>
  </si>
  <si>
    <t>SF_schedule_name_4</t>
  </si>
  <si>
    <t>4. Service Framework (SF): Publishing Date</t>
  </si>
  <si>
    <t>SF_publishing_date_4</t>
  </si>
  <si>
    <t>5. Service Framework (SF): Schedule Name</t>
  </si>
  <si>
    <t>SF_schedule_name_5</t>
  </si>
  <si>
    <t>5. Service Framework (SF): Publishing Date</t>
  </si>
  <si>
    <t>SF_publishing_date_5</t>
  </si>
  <si>
    <t>Optional for Migration (M if Service Framework (SF) == Yes, else O)</t>
  </si>
  <si>
    <t>6. Service Framework (SF): Schedule Name</t>
  </si>
  <si>
    <t>SF_schedule_name_6</t>
  </si>
  <si>
    <t>optional for migraion</t>
  </si>
  <si>
    <t>6. Service Framework (SF): Publishing Date</t>
  </si>
  <si>
    <t>SF_publishing_date_6</t>
  </si>
  <si>
    <t>7. Service Framework (SF): Schedule Name</t>
  </si>
  <si>
    <t>SF_schedule_name_7</t>
  </si>
  <si>
    <t>7. Service Framework (SF): Publishing Date</t>
  </si>
  <si>
    <t>SF_publishing_date_7</t>
  </si>
  <si>
    <t>8. Service Framework (SF): Schedule Name</t>
  </si>
  <si>
    <t>SF_schedule_name_8</t>
  </si>
  <si>
    <t>8. Service Framework (SF): Publishing Date</t>
  </si>
  <si>
    <t>SF_publishing_date_8</t>
  </si>
  <si>
    <t>9. Service Framework (SF): Schedule Name</t>
  </si>
  <si>
    <t>SF_schedule_name_9</t>
  </si>
  <si>
    <t>9. Service Framework (SF): Publishing Date</t>
  </si>
  <si>
    <t>SF_publishing_date_9</t>
  </si>
  <si>
    <t>10. Service Framework (SF): Schedule Name</t>
  </si>
  <si>
    <t>SF_schedule_name_10</t>
  </si>
  <si>
    <t>10. Service Framework (SF): Publishing Date</t>
  </si>
  <si>
    <t>SF_publishing_date_10</t>
  </si>
  <si>
    <t xml:space="preserve">Local Service Specifications </t>
  </si>
  <si>
    <t>local_service_specifications</t>
  </si>
  <si>
    <t>Do you wish to include additional local service specifications? 
*Please note that any relevant local service specifications must be added to this agreement as an addendum.</t>
  </si>
  <si>
    <t>Payment Type</t>
  </si>
  <si>
    <t xml:space="preserve">How will the Supplier be paid?
</t>
  </si>
  <si>
    <t xml:space="preserve">Approved Subcontractors </t>
  </si>
  <si>
    <t>approved_subcontractors</t>
  </si>
  <si>
    <t>Please include the legal name of approved subcontractors (or N/A)</t>
  </si>
  <si>
    <t>Subcontractor Responsibilities</t>
  </si>
  <si>
    <t>subcontractor_responsibilities</t>
  </si>
  <si>
    <t>Please describe key responsibilities of approved subcontractors (or N/A)</t>
  </si>
  <si>
    <t>Geographical Areas</t>
  </si>
  <si>
    <t>geographical_area - awaiting template  - 41545</t>
  </si>
  <si>
    <t>varchar(1000)</t>
  </si>
  <si>
    <t xml:space="preserve">What geographical area is applicable?
</t>
  </si>
  <si>
    <t xml:space="preserve">  when RAcode = 'HM' then 'Aotearoa'
else 'Region,District'</t>
  </si>
  <si>
    <t>Geographical Areas - Regions</t>
  </si>
  <si>
    <t>geographical_region</t>
  </si>
  <si>
    <t>What geographical region(s) does this agreement relate to?</t>
  </si>
  <si>
    <t>CONTRACT</t>
  </si>
  <si>
    <t>RACODE</t>
  </si>
  <si>
    <t>VARCHAR</t>
  </si>
  <si>
    <t>select 
    contractid, 
    version,
    RAcode, 
    case 
        when RAcode in ('CAK', 'SAK', 'NLD', 'NWA') then 'Northern'
        when RAcode in ('BOP', 'LKS', 'TRW', 'TKI', 'WKO') then 'Midlands'
        when RAcode in ('CAP', 'HWB', 'HUT', 'MWU', 'WRP', 'WNI') then 'Central'
        when RAcode in ('CTY', 'NLM', 'SCY', 'OTA', 'WCO') then 'South'
        when RAcode = 'HM' then null
        else null 
    end geographical_region
from dev_sandpit.CLM_contract_mig.eligible_AMS_contracts;</t>
  </si>
  <si>
    <t>Should be NULL when RACODE = 'HM'</t>
  </si>
  <si>
    <t>Geographical Areas == Region</t>
  </si>
  <si>
    <t>Geographical Areas -  Districts</t>
  </si>
  <si>
    <t>geographical_district</t>
  </si>
  <si>
    <t>What geographical district(s) does this agreement relate to?</t>
  </si>
  <si>
    <t>select 
    contractid, 
    version,
    RAcode,
    case 
        when RAcode = 'HM' then null
        when RAcode = 'BOP' then 'Bay of Plenty'
        when RAcode = 'CAK' then 'Auckland'
        when RAcode = 'CAP' then 'Capital &amp; Coast'
        when RAcode = 'CTY' then 'Canterbury'
        when RAcode = 'HUT' then 'Hutt Valley'
        when RAcode = 'HWB' then 'Hawke’s Bay'
        when RAcode = 'LKS' then 'Lakes'
        when RAcode = 'MWU' then 'MidCentral'
        when RAcode = 'NLD' then 'Northland'
        when RAcode = 'NLM' then 'Nelson Marlborough'
        when RAcode = 'NWA' then 'Waitemata'
        when RAcode = 'OTA' then 'Southern'
        when RAcode = 'SAK' then 'Counties Manukau'
        when RAcode = 'SCY' then 'South Canterbury'
        when RAcode = 'TKI' then 'Taranaki'
        when RAcode = 'TRW' then 'Tairawhiti'
        when RAcode = 'WCO' then 'West Coast'
        when RAcode = 'WKO' then 'Waikato'
        when RAcode = 'WRP' then 'Wairarapa'
        when RAcode = 'WNI' then 'Whanganui'
        else null 
    end geographical_district
from dev_sandpit.CLM_contract_mig.eligible_AMS_contracts
order by 4;</t>
  </si>
  <si>
    <t>Geographical Areas == District</t>
  </si>
  <si>
    <t>Geographical Areas - Localities</t>
  </si>
  <si>
    <t>geographical_localities</t>
  </si>
  <si>
    <t>What geographical localities does this agreement relate to?</t>
  </si>
  <si>
    <t>Geographical Areas == Locality</t>
  </si>
  <si>
    <t>Related Agreement Title</t>
  </si>
  <si>
    <t>Please provide the title of the MSA agreement to which this Statement of Work is related</t>
  </si>
  <si>
    <t>Related Agreement Start Date</t>
  </si>
  <si>
    <t>Please provide the start date of the MSA agreement to which this Statement of Work is related</t>
  </si>
  <si>
    <t>Related Agreement Number</t>
  </si>
  <si>
    <t>related_agreement_number</t>
  </si>
  <si>
    <t>Please provide the contract number of the MSA agreement to which this Statement of Work is related</t>
  </si>
  <si>
    <t>Agreement Background</t>
  </si>
  <si>
    <t>Please provide a brief background to this agreement (or N/A)</t>
  </si>
  <si>
    <t>Agreement Renewal</t>
  </si>
  <si>
    <t>How many times may funder_1 wish to renew this Agreement?</t>
  </si>
  <si>
    <t>Optional for Migration (Optional for migration (O if Contract Type == MSA, else M))</t>
  </si>
  <si>
    <t>Agreement Renewal Period</t>
  </si>
  <si>
    <t>For a period of how many additional years, will renewals last (each)?</t>
  </si>
  <si>
    <t>Optional for Migration (M if Contract Type  == SOW/Long/Short, else O )</t>
  </si>
  <si>
    <t>Required Meeting Presence</t>
  </si>
  <si>
    <t>The Supplier will attend the following meetings with funder_1 (please list, or N/A):</t>
  </si>
  <si>
    <t>Required Meeting Times</t>
  </si>
  <si>
    <t>The required meetings will be at the following times (list in same order as previous, or N/A):</t>
  </si>
  <si>
    <t>Reporting</t>
  </si>
  <si>
    <t>The Supplier will provide the specified reports to funder_1 (please list, or N/A):</t>
  </si>
  <si>
    <t>Reporting Frequency</t>
  </si>
  <si>
    <t>The reports will be provided at the specified frequency (list in same order as previous, or N/A):</t>
  </si>
  <si>
    <t>Assistance and Resources</t>
  </si>
  <si>
    <t>funder_1 will provide the following assistance and resources to the Supplier (please list, or N/A):</t>
  </si>
  <si>
    <t>Optional for Migration (M for SOW, else O)</t>
  </si>
  <si>
    <t>Resource Conditions</t>
  </si>
  <si>
    <t>The resources will be subject to the specified conditions and/or restrictions (list in same order as previous, or N/A):</t>
  </si>
  <si>
    <t>Tasks &amp; Responsibilities</t>
  </si>
  <si>
    <t>tasks_and_responsibilities</t>
  </si>
  <si>
    <t>funder_1 agrees to perform the following tasks and responsibilities to enable the Supplier to perform the Services (please list, or N/A):</t>
  </si>
  <si>
    <t>Description of Tasks &amp; Responsibilities</t>
  </si>
  <si>
    <t>description_of_tasks_and_responsibilities</t>
  </si>
  <si>
    <t>Description of funder_1 tasks and responsibilities (list in same order as previous, or N/A):</t>
  </si>
  <si>
    <t>Special Terms</t>
  </si>
  <si>
    <t>special_terms</t>
  </si>
  <si>
    <t xml:space="preserve">Are there any special terms that apply to this Statement of Work? 
Note - clauses to this effect will need to be linked to this agreement as 'bespoke clauses'
</t>
  </si>
  <si>
    <t>Initial Agreement Term</t>
  </si>
  <si>
    <t>initial_agreement_term</t>
  </si>
  <si>
    <t>Please state the initial agreement term (years/months) from the commencement date</t>
  </si>
  <si>
    <t>Rate Type</t>
  </si>
  <si>
    <t>rate_type</t>
  </si>
  <si>
    <t xml:space="preserve">What rate type applies?
</t>
  </si>
  <si>
    <t>Supplier Background</t>
  </si>
  <si>
    <t>Please briefly outline the Supplier background, capability, objectives etc. (or N/A)</t>
  </si>
  <si>
    <t>Service Schedule Title</t>
  </si>
  <si>
    <t>Please provide a title for this Service Schedule</t>
  </si>
  <si>
    <t>Service Schedule Parent Agreement Number</t>
  </si>
  <si>
    <t>Please specify the parent agreement contract number for this Service Schedule</t>
  </si>
  <si>
    <t>Service Schedule Number</t>
  </si>
  <si>
    <t>Please provide the Service Schedule number</t>
  </si>
  <si>
    <t>Contribution to Outcome Objectives</t>
  </si>
  <si>
    <t>Please outline how this Service is to contribute towards the Outcome objectives of the Purchasing Agency</t>
  </si>
  <si>
    <t>Target Population</t>
  </si>
  <si>
    <t>Please state the target population for the purpose of assessing the effect of the service on that population</t>
  </si>
  <si>
    <t>Supplier Activities and Contributions</t>
  </si>
  <si>
    <t>Insert any Supplier activities and contributions including any services or deliverables to be provided and any particular milestones or timeframes that apply.
Below wording is an example only and can be changed as required (or N/A):
1. First Milestone – the Upfront Payment is intended to enable the Supplier to complete the following:
1a. Establishment Fund: To build capacity, capability and systems for design and delivery of the solution or service to contribute towards to the Outcome. Includes Supplier’s costs to prepare its First Report due on [insert Date no later than 3 months after the start date of this Schedule].
1b. The First Report: The First Report is to include the Supplier’s business plan and proposed detailed Implementation Plan.
1c. The Implementation Plan: The Implemementation plan will set out:
- the services/outcomes the Supplier will deliver and how they will be monitored/assessed
- the unit cost, timing and other relevant information concerning the services, as applicable
- dates for release of further funding corresponding to milestone deliverables and whether payments are to be in in advance or on invoice
- reporting requirements and timing.
2. The Parties will then collaborate to agree the Implementation Plan (to cover deliverables for the remainder of the Term) which must be finalised within four weeks of receipt of the First Report.
3. Subsequent Milestones are to be set out in a separate Service Schedule and are subject to satisfactory completion of the First Milestone and the terms of the Implementation Plan.]</t>
  </si>
  <si>
    <t>Non-financial Activities or Contributions</t>
  </si>
  <si>
    <t>Insert any non-financial activities or contributions e.g. 'collaborate to agree specific solutions and an implementation plan' (or N/A)</t>
  </si>
  <si>
    <t>Indemnity Clause Enhancements</t>
  </si>
  <si>
    <t>Insert any enhancements to the indemnity clause (or N/A)</t>
  </si>
  <si>
    <t>Parties Obligations to Report</t>
  </si>
  <si>
    <t>Insert parties' obligations to report and meet and any monitoring activities including frequency. These may be set out in another document which should be referred to here like an overarching work plan or implementation plan. Specify for any audit or accreditation review that purchasing agency intends to conduct.</t>
  </si>
  <si>
    <t>Optional for Migration (M for Master Services Agreement, else O)</t>
  </si>
  <si>
    <t>Relevant Quality Standards</t>
  </si>
  <si>
    <t>&lt;Helper paragraph to enter relevant quality standards document&gt;</t>
  </si>
  <si>
    <t>Target Population Detail</t>
  </si>
  <si>
    <t>Detail target population (or N/A) including where relevant age, location or other factors as appropriate and insert key reporting measures covering –
- quantity,
- quality,
- effect (to assess whether Outcome achieved / anyone better-off as a result of the Service)
If applicable, set out agreed volume and specifics of the Services to be provided</t>
  </si>
  <si>
    <t>Optional for Migration (M for Outcomes Svcs Agreement, else O)</t>
  </si>
  <si>
    <t>Variation Clause</t>
  </si>
  <si>
    <t>Service Name</t>
  </si>
  <si>
    <t>Service Description</t>
  </si>
  <si>
    <t>Approved Personnel Name</t>
  </si>
  <si>
    <t>Approved Personnel Position</t>
  </si>
  <si>
    <t>Approved Personnel Specialisation</t>
  </si>
  <si>
    <t>Approved Subcontractor Name</t>
  </si>
  <si>
    <t>Approved Subcontractor Position</t>
  </si>
  <si>
    <t>New IP Bespoke Clause</t>
  </si>
  <si>
    <t>new_ip_bespoke_clause</t>
  </si>
  <si>
    <t>Privacy of Personal Information Bespoke Clause</t>
  </si>
  <si>
    <t>privacy_of_personal_information_bespoke_clause</t>
  </si>
  <si>
    <t>Bespoke Ts &amp; Cs</t>
  </si>
  <si>
    <t>bespoke_ts_and_cs</t>
  </si>
  <si>
    <t>Additional Terms Bespoke Clause</t>
  </si>
  <si>
    <t>additional_terms_bespoke_clause</t>
  </si>
  <si>
    <t>Invoice Reference</t>
  </si>
  <si>
    <t>Nothing from AMS to migrate as Future Invoices will be generated in CLM</t>
  </si>
  <si>
    <t>Please specify the times at which the Supplier must send the Purchasing Agency an invoice for the Fees and any expenses</t>
  </si>
  <si>
    <t>Please specify the dates for invoice submission</t>
  </si>
  <si>
    <t>Nothing from AMS to migrate as Future Invoices will be generated in CLM
21/08 (Change #135): Date component from AMS with 00:00:00 as time. Itfosys to apply UTC conversion.</t>
  </si>
  <si>
    <t>Variation Change</t>
  </si>
  <si>
    <t>variation_change</t>
  </si>
  <si>
    <t>Please specify the change to the existing Module e.g. changes to term, price, volume, reporting metrics, etc including replacing the whole Module with an updated version of the same Module.</t>
  </si>
  <si>
    <t>Which Module applies to this Pacific Integrated Contract?</t>
  </si>
  <si>
    <t>which_module_applies_to_this_pic</t>
  </si>
  <si>
    <t>Please select the relevant module from the dropdown list</t>
  </si>
  <si>
    <t>Options to Renew</t>
  </si>
  <si>
    <t>options_to_renew</t>
  </si>
  <si>
    <t>How many years right of renewal are there for this Module?</t>
  </si>
  <si>
    <t>Related Master Terms Number</t>
  </si>
  <si>
    <t>What is the Master Terms contract Number that this module relates to?</t>
  </si>
  <si>
    <t>Related Master Terms Name</t>
  </si>
  <si>
    <t>What is the Master Terms contract Name that this module relates to?</t>
  </si>
  <si>
    <t>Module Special Terms</t>
  </si>
  <si>
    <t>module_special_terms</t>
  </si>
  <si>
    <t>If any special terms are applicable to this module, please provide them here.</t>
  </si>
  <si>
    <t>Module-specific Definitions and Interpretations</t>
  </si>
  <si>
    <t>module_specific_definitions_and_interpretations</t>
  </si>
  <si>
    <t>If any module-specific definitions and interpretations are applicable to this module, please provide them here.</t>
  </si>
  <si>
    <t>Variation Amendment</t>
  </si>
  <si>
    <t>variation_ amendment</t>
  </si>
  <si>
    <t>If applicable, please specify the change to this agreement that results in variation
Note: the information provided here will be inserted into the contract document</t>
  </si>
  <si>
    <t>What does this variation  do to the outcome agreement change?</t>
  </si>
  <si>
    <t>Please select the change triggered by this variation.</t>
  </si>
  <si>
    <t>Variation Agreement == Yes</t>
  </si>
  <si>
    <t>Agreement Manager email</t>
  </si>
  <si>
    <t>Service Specification Links</t>
  </si>
  <si>
    <t>Should this agreement contain one or more links for Service Specifications?</t>
  </si>
  <si>
    <t>Additional service specifications</t>
  </si>
  <si>
    <t>Are there any additional service specifications related to this agreement?</t>
  </si>
  <si>
    <t>Intellectual property name</t>
  </si>
  <si>
    <t>Please name any new intellectual property</t>
  </si>
  <si>
    <t>Variation Agreement == No</t>
  </si>
  <si>
    <t xml:space="preserve">Intellectual property uses </t>
  </si>
  <si>
    <t>Please list the agreed uses of the new intellectual property</t>
  </si>
  <si>
    <t>Changes to the framework terms and conditions</t>
  </si>
  <si>
    <t>Please provide details of any changes to the framework terms and conditions.</t>
  </si>
  <si>
    <t>Is there any new reporting by the Supplier?</t>
  </si>
  <si>
    <t>Enter new services</t>
  </si>
  <si>
    <t>Please enter the services that require reporting?</t>
  </si>
  <si>
    <t>Supplier Performance Reports</t>
  </si>
  <si>
    <t xml:space="preserve">What reports are required? </t>
  </si>
  <si>
    <t>FREQUENCYID</t>
  </si>
  <si>
    <t>select case 
    when frequencyid = 'NONE' then 'None'
    when frequencyid = '1MONT' then 'Monthly Reports'
    when frequencyid = '3MONT' then 'Quarterly Reports'
    when frequencyid = '6MONT' then '6 Monthly Reports'
    when frequencyid = 'ANOCT' then 'Annual Reports'
  end
from prd_AMS.SYS.CONTRACT</t>
  </si>
  <si>
    <t>Letter of Agreement Date</t>
  </si>
  <si>
    <t>When should the letter be dated?</t>
  </si>
  <si>
    <t>Additional Supplier specific terms and conditions</t>
  </si>
  <si>
    <t>field_name</t>
  </si>
  <si>
    <t>Is field from FS1?</t>
  </si>
  <si>
    <t>field_type</t>
  </si>
  <si>
    <t>is_unique</t>
  </si>
  <si>
    <t>is_nullable</t>
  </si>
  <si>
    <t>Questions for Infy</t>
  </si>
  <si>
    <t>CT: 3/07/2024</t>
  </si>
  <si>
    <t>CMS_Agreement_Number</t>
  </si>
  <si>
    <t>ALM.Contract</t>
  </si>
  <si>
    <t>hnz_add_terms_bespoke_clause</t>
  </si>
  <si>
    <t>Additional_Terms_Bespoke_Clause</t>
  </si>
  <si>
    <t>hnz_agreement_background</t>
  </si>
  <si>
    <t>Agreement_Background</t>
  </si>
  <si>
    <t>Agreement_Deputy_Email_Address</t>
  </si>
  <si>
    <t>SYSCMS</t>
  </si>
  <si>
    <t>GEN_PERORG</t>
  </si>
  <si>
    <r>
      <rPr>
        <sz val="11"/>
        <color rgb="FF000000"/>
        <rFont val="Calibri"/>
        <family val="2"/>
      </rPr>
      <t>SYSCMS.CM_CONTRACT.</t>
    </r>
    <r>
      <rPr>
        <sz val="11"/>
        <color rgb="FFED7D31"/>
        <rFont val="Calibri"/>
        <family val="2"/>
      </rPr>
      <t xml:space="preserve">CONTRACTDEPUTY </t>
    </r>
    <r>
      <rPr>
        <sz val="11"/>
        <color rgb="FF000000"/>
        <rFont val="Calibri"/>
        <family val="2"/>
      </rPr>
      <t>=SYSCMS.GEN_PERORG.PERORGID</t>
    </r>
  </si>
  <si>
    <t>Agreement_Deputy_name</t>
  </si>
  <si>
    <t>Send sample data to Connor</t>
  </si>
  <si>
    <t>Concat(title,firstname1,firstname2,name) with &lt;space&gt; as separator</t>
  </si>
  <si>
    <r>
      <rPr>
        <sz val="11"/>
        <color rgb="FF000000"/>
        <rFont val="Calibri"/>
        <family val="2"/>
        <scheme val="minor"/>
      </rPr>
      <t>SYSCMS.CM_CONTRACT.</t>
    </r>
    <r>
      <rPr>
        <sz val="11"/>
        <color rgb="FFED7D31"/>
        <rFont val="Calibri"/>
        <family val="2"/>
        <scheme val="minor"/>
      </rPr>
      <t xml:space="preserve">CONTRACTDEPUTY </t>
    </r>
    <r>
      <rPr>
        <sz val="11"/>
        <color rgb="FF000000"/>
        <rFont val="Calibri"/>
        <family val="2"/>
        <scheme val="minor"/>
      </rPr>
      <t>= SYSCMS.GEN_PERORG.PERORGID</t>
    </r>
  </si>
  <si>
    <t>agree_fin_mgr_name</t>
  </si>
  <si>
    <t>Agreement_Finance_Manager_name_changed_to_Receiptor_Name</t>
  </si>
  <si>
    <t>Fin manager maps to receiptor name in erp
Map to Fin manager from CMS</t>
  </si>
  <si>
    <t>Concat(firstname1,firstname2,name) with &lt;space&gt; as separator</t>
  </si>
  <si>
    <t>SYSCMS.CM_CONTRACT.FINANCEMNGR = SYSCMS.GEN_PERORG.PERORGID</t>
  </si>
  <si>
    <t>Agreement_Manager_name</t>
  </si>
  <si>
    <t>Same as contract manager</t>
  </si>
  <si>
    <r>
      <rPr>
        <sz val="11"/>
        <color rgb="FF000000"/>
        <rFont val="Calibri"/>
        <family val="2"/>
      </rPr>
      <t>SYSCMS.CM_CONTRACT.</t>
    </r>
    <r>
      <rPr>
        <sz val="11"/>
        <color rgb="FFED7D31"/>
        <rFont val="Calibri"/>
        <family val="2"/>
      </rPr>
      <t xml:space="preserve">PrvdrContact </t>
    </r>
    <r>
      <rPr>
        <sz val="11"/>
        <color rgb="FF000000"/>
        <rFont val="Calibri"/>
        <family val="2"/>
      </rPr>
      <t>= SYSCMS.GEN_PERORG.PERORGID</t>
    </r>
  </si>
  <si>
    <t>hnz_agreement_renewal</t>
  </si>
  <si>
    <t>Agreement_Renewal</t>
  </si>
  <si>
    <t>hnz_agreement_renewal_period</t>
  </si>
  <si>
    <t>Agreement_Renewal_Period</t>
  </si>
  <si>
    <t>Agreement_Request_Form</t>
  </si>
  <si>
    <t>Sent Q to Madan</t>
  </si>
  <si>
    <t>Should be optional</t>
  </si>
  <si>
    <t>hnz_agree_bu</t>
  </si>
  <si>
    <t>Agreement_Service_Area_or_Business_Unit</t>
  </si>
  <si>
    <t>*field deleted</t>
  </si>
  <si>
    <t>hnz_approved_personnel_name</t>
  </si>
  <si>
    <t>Approved_Personnel_Name</t>
  </si>
  <si>
    <t>hnz_approved_personnel_position</t>
  </si>
  <si>
    <t>Approved_Personnel_Position</t>
  </si>
  <si>
    <t>hnz_approved_personnel_specialisation</t>
  </si>
  <si>
    <t>Approved_Personnel_Specialisation</t>
  </si>
  <si>
    <t>hnz_approved_subcontractor_name</t>
  </si>
  <si>
    <t>Approved_Subcontractor_Name</t>
  </si>
  <si>
    <t>hnz_approved_subcontractor_position</t>
  </si>
  <si>
    <t>Approved_Subcontractor_Position</t>
  </si>
  <si>
    <t>hnz_approved_subcontractors_sow</t>
  </si>
  <si>
    <t>Approved_Subcontractors_for_Statement_of_Work_Agreement</t>
  </si>
  <si>
    <t>hnz_approved_subcontractors_lfa_sfa</t>
  </si>
  <si>
    <t>Approved_Subcontractors</t>
  </si>
  <si>
    <t>hnz_additional_requirements</t>
  </si>
  <si>
    <t>Are_there_any_additional_requirements?_Select_from_available_list</t>
  </si>
  <si>
    <t>hnz_assistance_resources</t>
  </si>
  <si>
    <t>Assistance_and_Resources</t>
  </si>
  <si>
    <t>hnz_bespoke_ts_cs</t>
  </si>
  <si>
    <t>Bespoke_Ts_and_Cs</t>
  </si>
  <si>
    <t>hnz_contract_manager_email</t>
  </si>
  <si>
    <t>Contract_Manager_Email_Address_changed_to_Provider_Contact_Email_address</t>
  </si>
  <si>
    <t>provider contact in CMS</t>
  </si>
  <si>
    <t>Email</t>
  </si>
  <si>
    <r>
      <rPr>
        <sz val="11"/>
        <color rgb="FF000000"/>
        <rFont val="Calibri"/>
        <family val="2"/>
      </rPr>
      <t>SYSCMS.CM_CONTRACT.</t>
    </r>
    <r>
      <rPr>
        <sz val="11"/>
        <color rgb="FFFFC000"/>
        <rFont val="Calibri"/>
        <family val="2"/>
      </rPr>
      <t xml:space="preserve">PRVDRCONTACT </t>
    </r>
    <r>
      <rPr>
        <sz val="11"/>
        <color rgb="FF000000"/>
        <rFont val="Calibri"/>
        <family val="2"/>
      </rPr>
      <t>= SYSCMS.GEN_PERORG.PERORGID</t>
    </r>
  </si>
  <si>
    <t>hnz_contract_manager_name</t>
  </si>
  <si>
    <t>Contract_Manager_Name_changed_to_Provider_Contact_Name</t>
  </si>
  <si>
    <t>hnz_contribution_outcome_objectives</t>
  </si>
  <si>
    <t>Contribution_to_Outcome_Objectives</t>
  </si>
  <si>
    <t>hnz_descrip_tasks_responsibilities</t>
  </si>
  <si>
    <t>Description_of_Tasks_and_Responsibilities</t>
  </si>
  <si>
    <t>hnz_division</t>
  </si>
  <si>
    <t>Which_division_is_this_agreement_for?</t>
  </si>
  <si>
    <t>Connor to check</t>
  </si>
  <si>
    <t>CM_CONTRACT</t>
  </si>
  <si>
    <t>TRANSITIONALFUNDER</t>
  </si>
  <si>
    <t>hnz_finance_admin_email</t>
  </si>
  <si>
    <t>Finance_Administrator_Email_Address_changed_to_Receiptor_Name_Email_address</t>
  </si>
  <si>
    <r>
      <rPr>
        <sz val="11"/>
        <color rgb="FF000000"/>
        <rFont val="Calibri"/>
        <family val="2"/>
        <scheme val="minor"/>
      </rPr>
      <t>SYSCMS.CM_CONTRACT.</t>
    </r>
    <r>
      <rPr>
        <sz val="11"/>
        <color rgb="FFED7D31"/>
        <rFont val="Calibri"/>
        <family val="2"/>
        <scheme val="minor"/>
      </rPr>
      <t xml:space="preserve">FINANCEMNGR </t>
    </r>
    <r>
      <rPr>
        <sz val="11"/>
        <color rgb="FF000000"/>
        <rFont val="Calibri"/>
        <family val="2"/>
        <scheme val="minor"/>
      </rPr>
      <t>= SYSCMS.GEN_PERORG.PERORGID</t>
    </r>
  </si>
  <si>
    <t>hnz_finance_admin_name</t>
  </si>
  <si>
    <t>Finance_Administrator_Name</t>
  </si>
  <si>
    <t>hnz_provider_paid_lfa_sfa</t>
  </si>
  <si>
    <t>How_will_the_provider_be_paid?_Value_to_be_selected_from_given_values.IF_multiple_values_are_provided_they_should_be_separated_by_semicolon</t>
  </si>
  <si>
    <t>hnz_provider_paid_loa_osa_sow</t>
  </si>
  <si>
    <t>How_will_the_provider_be_paid?_Multi_Choice_value_to_be_seperated_by_Semi_Colon</t>
  </si>
  <si>
    <t>hnz_indemnity_clause_enhancements</t>
  </si>
  <si>
    <t>Indemnity_Clause_Enhancements</t>
  </si>
  <si>
    <t>hnz_initial_agreement_term</t>
  </si>
  <si>
    <t>Initial_Agreement_Term</t>
  </si>
  <si>
    <t>hnz_invoice_reference</t>
  </si>
  <si>
    <t>Invoice_Reference</t>
  </si>
  <si>
    <t>hnz_invoicing_osa</t>
  </si>
  <si>
    <t>_The_times_at_which_the_Provider_must_send_the_Purchasing_Agency_an_invoice_for_the_Fees_and_any_expenses_Value_to_be_provided_from_available_list</t>
  </si>
  <si>
    <t>hnz_long_contract</t>
  </si>
  <si>
    <t>Is_this_a_Long_Agreement?</t>
  </si>
  <si>
    <t>hnz_new_ip_bespoke_clause</t>
  </si>
  <si>
    <t>New_IP_Bespoke_Clause</t>
  </si>
  <si>
    <t>hnz_non-financial_activities_contributions</t>
  </si>
  <si>
    <t>Non-financial_Activities_or_Contributions</t>
  </si>
  <si>
    <t>agree_number_services</t>
  </si>
  <si>
    <t>int</t>
  </si>
  <si>
    <t>Select_the_number_of_services_for_this_agreement.</t>
  </si>
  <si>
    <t>*not migrating</t>
  </si>
  <si>
    <t>delete?</t>
  </si>
  <si>
    <t>See mapping rules</t>
  </si>
  <si>
    <t>Total number of services we are creating for the contract</t>
  </si>
  <si>
    <t>hnz_parties_obligations</t>
  </si>
  <si>
    <t>Parties_Obligations_to_Report</t>
  </si>
  <si>
    <t>payment_schedule</t>
  </si>
  <si>
    <t>To_be_kept_blank_.Its_an_PE_integration_Field</t>
  </si>
  <si>
    <t>payment_schedule_suspension___re-instation_comments</t>
  </si>
  <si>
    <t>hnz_perform_manager_email</t>
  </si>
  <si>
    <t>Performance_Reporting_Manager_Email_Address_changed_to_Provider_Reporting_Contact_Email_address</t>
  </si>
  <si>
    <t>provder monitor from CMS</t>
  </si>
  <si>
    <r>
      <rPr>
        <sz val="11"/>
        <color rgb="FF000000"/>
        <rFont val="Calibri"/>
        <family val="2"/>
        <scheme val="minor"/>
      </rPr>
      <t>SYSCMS.CM_CONTRACT.</t>
    </r>
    <r>
      <rPr>
        <sz val="11"/>
        <color rgb="FFED7D31"/>
        <rFont val="Calibri"/>
        <family val="2"/>
        <scheme val="minor"/>
      </rPr>
      <t xml:space="preserve">PROVIDERMNTRCONTACT </t>
    </r>
    <r>
      <rPr>
        <sz val="11"/>
        <color rgb="FF000000"/>
        <rFont val="Calibri"/>
        <family val="2"/>
        <scheme val="minor"/>
      </rPr>
      <t>= SYSCMS.GEN_PERORG.PERORGID</t>
    </r>
  </si>
  <si>
    <t>hnz_perform_manager_name</t>
  </si>
  <si>
    <t>Performance_Reporting_Manager_Name_changed_to_Provider_Reporting_Contact_Name</t>
  </si>
  <si>
    <t>hnz_add_req_bullet_points</t>
  </si>
  <si>
    <t>Please_list_additional_requirements_as_bullet_points</t>
  </si>
  <si>
    <t>hnz_privacy_pers_inf_bespoke_clause</t>
  </si>
  <si>
    <t>Privacy_of_Personal_Information_Bespoke_Clause</t>
  </si>
  <si>
    <t>hnz_provider_activities_contributions</t>
  </si>
  <si>
    <t>Provider_Activities_and_Contributions</t>
  </si>
  <si>
    <t>hnz_provider_background</t>
  </si>
  <si>
    <t>Provider_Background</t>
  </si>
  <si>
    <t>Enter_the_date_that_the_Agreement_Request_form_was_received</t>
  </si>
  <si>
    <t>Conditionally mandatory?</t>
  </si>
  <si>
    <t>hnz_related_agreement_start_date</t>
  </si>
  <si>
    <t>Related_Agreement_Start_Date</t>
  </si>
  <si>
    <t>hnz_related_agreement_title</t>
  </si>
  <si>
    <t>Related_Agreement_Title</t>
  </si>
  <si>
    <t>hnz_relevant_quality_standards</t>
  </si>
  <si>
    <t>Relevant_Quality_Standards</t>
  </si>
  <si>
    <t>hnz_reporting</t>
  </si>
  <si>
    <t>hnz_reporting_frequency</t>
  </si>
  <si>
    <t>Reporting_Frequency</t>
  </si>
  <si>
    <t>hnz_required_meeting_presence</t>
  </si>
  <si>
    <t>Required_Meeting_Presence</t>
  </si>
  <si>
    <t>hnz_required_meeting_times</t>
  </si>
  <si>
    <t>Required_Meeting_Times</t>
  </si>
  <si>
    <t>hnz_resource_conditions</t>
  </si>
  <si>
    <t>Resource_Conditions</t>
  </si>
  <si>
    <t>hnz_service_description</t>
  </si>
  <si>
    <t>Service_Description</t>
  </si>
  <si>
    <t>hnz_service_name</t>
  </si>
  <si>
    <t>Service_Name</t>
  </si>
  <si>
    <t>hnz_service_schedule_number</t>
  </si>
  <si>
    <t>Service_Schedule_Number</t>
  </si>
  <si>
    <t>hnz_parent_agreement_number</t>
  </si>
  <si>
    <t>Service_Schedule_Parent_Agreement_Number</t>
  </si>
  <si>
    <t>hnz_service_schedule_title</t>
  </si>
  <si>
    <t>Service_Schedule_Title</t>
  </si>
  <si>
    <t>agree_service_start_1</t>
  </si>
  <si>
    <t>agree_service_start_2</t>
  </si>
  <si>
    <t>agree_service_start_3</t>
  </si>
  <si>
    <t>agree_service_start_4</t>
  </si>
  <si>
    <t>agree_service_start_5</t>
  </si>
  <si>
    <t>special_contract_term</t>
  </si>
  <si>
    <t>Are_there_any_special_terms_in_this_contract?</t>
  </si>
  <si>
    <t>sent Q to Madan</t>
  </si>
  <si>
    <t>*deleted</t>
  </si>
  <si>
    <t>hnz_specify_dates</t>
  </si>
  <si>
    <t>Please_specify_the_dates_for_invoice_submission</t>
  </si>
  <si>
    <t>hnz_subcontractor_responsibility_lfa_sfa</t>
  </si>
  <si>
    <t>Subcontractor_Responsibility</t>
  </si>
  <si>
    <t>hnz_target_population</t>
  </si>
  <si>
    <t>Target_Population</t>
  </si>
  <si>
    <t>hnz_target_population_detail</t>
  </si>
  <si>
    <t>Target_Population_Detail</t>
  </si>
  <si>
    <t>hnz_tasks_responsibilities</t>
  </si>
  <si>
    <t>Tasks_and_Responsibilities</t>
  </si>
  <si>
    <t>hnz_variation_clause</t>
  </si>
  <si>
    <t>Variation_Clause</t>
  </si>
  <si>
    <t>hnz_geographical_area</t>
  </si>
  <si>
    <t>What_geographical_area_is_applicable?_Value_to_be_selected_from_given_values.IF_multiple_values_are_provided_they_should_be_separated_by_semicolon</t>
  </si>
  <si>
    <t>hnz_geographical_districts</t>
  </si>
  <si>
    <t>What_geographical_district(s)_does_this_agreement_relate_to?_Value_to_be_selected_from_given_values.IF_multiple_values_are_provided_they_should_be_separated_by_semicolon</t>
  </si>
  <si>
    <t>hnz_geographical_localities</t>
  </si>
  <si>
    <t>What_geographical_localities_does_this_agreement_relate_to?_Value_to_be_selected_from_given_values.IF_multiple_values_are_provided_they_should_be_separated_by_semicolon</t>
  </si>
  <si>
    <t>hnz_geographical_area_regions</t>
  </si>
  <si>
    <t>What_geographical_region(s)_does_this_agreement_relate_to?_Value_to_be_selected_from_given_values.IF_multiple_values_are_provided_they_should_be_separated_by_semicolon</t>
  </si>
  <si>
    <t>hnz_rate_type</t>
  </si>
  <si>
    <t>Varchar(100)</t>
  </si>
  <si>
    <t>Rate_type_that_applies_to_this_agreement_Value_to_be_made_available_from_existing_values</t>
  </si>
  <si>
    <t>seq_id</t>
  </si>
  <si>
    <t>contract_id</t>
  </si>
  <si>
    <t>ext_uniq_contract</t>
  </si>
  <si>
    <t>add_terms_bespoke_clause</t>
  </si>
  <si>
    <t>agreement_background</t>
  </si>
  <si>
    <t>amendement_start_date</t>
  </si>
  <si>
    <t>Variation/Amendement_Start_Date</t>
  </si>
  <si>
    <t>variation_version_number</t>
  </si>
  <si>
    <t>Variation_Version_Number
This_needs_to_be_in_format_of_Agreement_number_-_Version_number_(C50-03)</t>
  </si>
  <si>
    <t>contract_end_date</t>
  </si>
  <si>
    <t>Agreement/Contract_End_Date</t>
  </si>
  <si>
    <t>operating_group</t>
  </si>
  <si>
    <t>Operating_Group</t>
  </si>
  <si>
    <t>life_course</t>
  </si>
  <si>
    <t>Life_Course</t>
  </si>
  <si>
    <t>category_other</t>
  </si>
  <si>
    <t>Category_(other)</t>
  </si>
  <si>
    <t>agreement_contains_pacific_services</t>
  </si>
  <si>
    <t>Agreement_contains_Pacific_Services</t>
  </si>
  <si>
    <t>agreement_contains_hauora_maori_services</t>
  </si>
  <si>
    <t>Agreement_contains_Hauora_Maori_Services</t>
  </si>
  <si>
    <t>Variation_Agreement</t>
  </si>
  <si>
    <t>Need to understand functionality</t>
  </si>
  <si>
    <t>F for v 00
T for v &lt;&gt; 00</t>
  </si>
  <si>
    <t>Variation_Purpose</t>
  </si>
  <si>
    <t>conditionally mandatory
Need config data
CT</t>
  </si>
  <si>
    <t>Original_clause_subject_to_variation</t>
  </si>
  <si>
    <t>conditionally mandatory</t>
  </si>
  <si>
    <t>nsf_number_of_links</t>
  </si>
  <si>
    <t>National_Service_Framework_(NSF):_Number_of_Links</t>
  </si>
  <si>
    <t>CT</t>
  </si>
  <si>
    <t>nsf_link</t>
  </si>
  <si>
    <t>National Service Framework (NSF): Link</t>
  </si>
  <si>
    <t>nsf_schedule name_1</t>
  </si>
  <si>
    <t>nsf_publishing date_1</t>
  </si>
  <si>
    <t>nsf_schedule name_2</t>
  </si>
  <si>
    <t>nsf_publishing date_2</t>
  </si>
  <si>
    <t>nsf_schedule name_3</t>
  </si>
  <si>
    <t>nsf_publishing date_3</t>
  </si>
  <si>
    <t>nsf_schedule name_4</t>
  </si>
  <si>
    <t>nsf_publishing date_4</t>
  </si>
  <si>
    <t>nsf_schedule name_5</t>
  </si>
  <si>
    <t>nsf_publishing date_5</t>
  </si>
  <si>
    <t>Do you wish to include additional local service specifications?
*Please note that any relevant local service specifications must be added to this agreement as an addendum.</t>
  </si>
  <si>
    <t>Not in CMS</t>
  </si>
  <si>
    <t>hnz_payment_type</t>
  </si>
  <si>
    <t>How will the provider be paid?</t>
  </si>
  <si>
    <t>geographical_area</t>
  </si>
  <si>
    <t>What geographical area is applicable?
* Aotearoa
* Region
* District
* Locality</t>
  </si>
  <si>
    <t>Does this field need migration?</t>
  </si>
  <si>
    <t>assistance_and_resources</t>
  </si>
  <si>
    <t>Te Whatu Ora will provide the following assistance and resources to the Provider (please list, or N/A):</t>
  </si>
  <si>
    <t>Te Whatu Ora agrees to perform the following tasks and responsibilities to enable the Provider to perform the Services (please list, or N/A):</t>
  </si>
  <si>
    <t>What rate type applies?
* Fixed Fee Rate
* Hourly Fee Rate
* Daily Fee Rate</t>
  </si>
  <si>
    <t>parties_obligations_to_report</t>
  </si>
  <si>
    <t>approved_personnel_name</t>
  </si>
  <si>
    <t xml:space="preserve">Please provide the full name of each Approved Personnel. </t>
  </si>
  <si>
    <t>approved_personnel_position</t>
  </si>
  <si>
    <t>Please provide the position of each Approved Personnel. [Note: use the same order as previous].</t>
  </si>
  <si>
    <t>approved_personnel_specialisation</t>
  </si>
  <si>
    <t>Please provide the specialisation of each Approved Personnel. [Note: use the same order as previous].</t>
  </si>
  <si>
    <t>approved_subcontractor_name</t>
  </si>
  <si>
    <t>Please provide the name of each Approved Subcontractor.</t>
  </si>
  <si>
    <t>approved_subcontractor_position</t>
  </si>
  <si>
    <t>Please provide the position of each Approved Subcontractor. [Note: use the same order as previous].</t>
  </si>
  <si>
    <t>If required, please specify any clause relating to bespoke IP, (or N/A). In accordance with clause 10.3 FT&amp;C, unless Agreed Uses are specified here, the default position will apply and the Partner will own all New IP and Te Whatu Ora can only use that New IP. If provided, this clause will be reviewed by the legal team during MCD review.</t>
  </si>
  <si>
    <t>Per clause 8.2 of the Framework Terms and Conditions, set out here any agreements about the sharing of client personal information; alternatively include a reference to another document where those agreements are set out (or N/A).] If provided, this clause will be reviewed by the legal team during MCD review.</t>
  </si>
  <si>
    <t>bespoke_ts_&amp;_cs</t>
  </si>
  <si>
    <t>If required, please set out here any changes to the Framework Terms and Conditions (or N/A). If provided, this clause will be reviewed by the legal team during MCD review.</t>
  </si>
  <si>
    <t>Include here any service specific clauses which are not covered by the Framework Terms and Conditions (or N/A).  In particular consider where relevant: clauses covering the Children’s Act (the obligations to have child safety policies), and clauses on Health and Safety obligation. If provided, this clause will be reviewed by the legal team during MCD review.</t>
  </si>
  <si>
    <t>4-Jul</t>
  </si>
  <si>
    <t>lookups value</t>
  </si>
  <si>
    <t>default value</t>
  </si>
  <si>
    <t>Long Form Agreement
Short Form Agreement
is nullable</t>
  </si>
  <si>
    <t>Letter of Agreement
is nullable</t>
  </si>
  <si>
    <t>Statement of Work
is nullable</t>
  </si>
  <si>
    <t>Master Services Agreement
is nullable</t>
  </si>
  <si>
    <t>Outcomes Services Agreement
is nullable</t>
  </si>
  <si>
    <t>Is_nullable (M/O)</t>
  </si>
  <si>
    <t>Agreement Deputy Phone Number</t>
  </si>
  <si>
    <t>agree_dept_phone</t>
  </si>
  <si>
    <t>Agreement Service Area or Business Unit</t>
  </si>
  <si>
    <t>Special Contract Terms</t>
  </si>
  <si>
    <t>Are there any special terms in this contract?</t>
  </si>
  <si>
    <t>Contract Manager Phone Number</t>
  </si>
  <si>
    <t>hnz_contract_manager_number</t>
  </si>
  <si>
    <t>Contract Manager Alternative Phone Number</t>
  </si>
  <si>
    <t>hnz_contract_manager_alter_number</t>
  </si>
  <si>
    <t>Contract Administrator Name</t>
  </si>
  <si>
    <t>hnz_contract_admin_name</t>
  </si>
  <si>
    <t>Contract Administrator Phone Number</t>
  </si>
  <si>
    <t>hnz_contract_admin_number</t>
  </si>
  <si>
    <t>Contract Administrator Alternative Phone Number</t>
  </si>
  <si>
    <t>hnz_contract_admin_alter_number</t>
  </si>
  <si>
    <t>Contract Administrator Email Address</t>
  </si>
  <si>
    <t>hnz_contract_admin_email</t>
  </si>
  <si>
    <t>Performance Reporting Manager Phone Number</t>
  </si>
  <si>
    <t>hnz_perform_manager_number</t>
  </si>
  <si>
    <t>Performance Reporting Manager Alternative Phone Number</t>
  </si>
  <si>
    <t>hnz_perform_manager_alter_number</t>
  </si>
  <si>
    <t>Finance Administrator Phone Number</t>
  </si>
  <si>
    <t>hnz_finance_admin_number</t>
  </si>
  <si>
    <t>Finance Administrator Alternative Phone Number</t>
  </si>
  <si>
    <t>hnz_finance_admin_alter_number</t>
  </si>
  <si>
    <t>agree_service_name_1</t>
  </si>
  <si>
    <t>To be kept blank .Its an PE integration Field</t>
  </si>
  <si>
    <t>agree_service_name_2</t>
  </si>
  <si>
    <t>agree_service_name_3</t>
  </si>
  <si>
    <t>agree_service_name_4</t>
  </si>
  <si>
    <t>agree_service_name_5</t>
  </si>
  <si>
    <t>agree_service_description_1</t>
  </si>
  <si>
    <t>agree_service_description_2</t>
  </si>
  <si>
    <t>agree_service_description_3</t>
  </si>
  <si>
    <t>agree_service_description_4</t>
  </si>
  <si>
    <t>agree_service_description_5</t>
  </si>
  <si>
    <t>agree_service_end_1</t>
  </si>
  <si>
    <t>agree_service_end_2</t>
  </si>
  <si>
    <t>agree_service_end_3</t>
  </si>
  <si>
    <t>agree_service_end_4</t>
  </si>
  <si>
    <t>agree_service_end_5</t>
  </si>
  <si>
    <t>agree_service_gst_1</t>
  </si>
  <si>
    <t>agree_service_gst_2</t>
  </si>
  <si>
    <t>agree_service_gst_3</t>
  </si>
  <si>
    <t>agree_service_gst_4</t>
  </si>
  <si>
    <t>agree_service_gst_5</t>
  </si>
  <si>
    <t>Select the number of services for this agreement.</t>
  </si>
  <si>
    <t>Approved Subcontractors for Statement of Work Agreement</t>
  </si>
  <si>
    <t>Approved Subcontractors</t>
  </si>
  <si>
    <t>Are there any additional requirements? Select from available list</t>
  </si>
  <si>
    <t>Bespoke Ts and Cs</t>
  </si>
  <si>
    <t>Description of Tasks and Responsibilities</t>
  </si>
  <si>
    <t>How will the provider be paid? Value to be selected from given values.IF multiple values are provided they should be separated by semicolon</t>
  </si>
  <si>
    <t>How will the provider be paid? Multi Choice value to be seperated by Semi Colon</t>
  </si>
  <si>
    <t xml:space="preserve"> The times at which the Provider must send the Purchasing Agency an invoice for the Fees and any expenses Value to be provided from available list</t>
  </si>
  <si>
    <t>Is this a Long Agreement?</t>
  </si>
  <si>
    <t>Please list additional requirements as bullet points</t>
  </si>
  <si>
    <t>Subcontractor Responsibility</t>
  </si>
  <si>
    <t>Tasks and Responsibilities</t>
  </si>
  <si>
    <t>What geographical area is applicable? Value to be selected from given values.IF multiple values are provided they should be separated by semicolon</t>
  </si>
  <si>
    <t>What geographical district(s) does this agreement relate to? Value to be selected from given values.IF multiple values are provided they should be separated by semicolon</t>
  </si>
  <si>
    <t>What geographical localities does this agreement relate to? Value to be selected from given values.IF multiple values are provided they should be separated by semicolon</t>
  </si>
  <si>
    <t>What geographical region(s) does this agreement relate to? Value to be selected from given values.IF multiple values are provided they should be separated by semicolon</t>
  </si>
  <si>
    <t>Rate type that applies to this agreement Value to be made available from existing values</t>
  </si>
  <si>
    <t>{"Type" : "Foreign-Key:1:1", "Table" : "contracts", "Field" : "seq id", "ClientKey" : false}</t>
  </si>
  <si>
    <t>{"Type" : "Foreign-Key:1:1", "Table" : "contracts", "Field" : "ext uniq contract", "ClientKey" : true}</t>
  </si>
  <si>
    <r>
      <t xml:space="preserve">What is the purpose for this Variation?
</t>
    </r>
    <r>
      <rPr>
        <i/>
        <sz val="11"/>
        <color theme="1"/>
        <rFont val="Arial"/>
        <family val="2"/>
      </rPr>
      <t>NOTE - if "Something else" is selected, users MUST include a bespoke clause defining the details of the variation.</t>
    </r>
    <r>
      <rPr>
        <sz val="11"/>
        <color theme="1"/>
        <rFont val="Arial"/>
        <family val="2"/>
      </rPr>
      <t xml:space="preserve">
</t>
    </r>
  </si>
  <si>
    <r>
      <t xml:space="preserve">Mandatory </t>
    </r>
    <r>
      <rPr>
        <strike/>
        <sz val="11"/>
        <color theme="1"/>
        <rFont val="Arial"/>
        <family val="2"/>
      </rPr>
      <t>Optional for Migration</t>
    </r>
    <r>
      <rPr>
        <sz val="11"/>
        <color theme="1"/>
        <rFont val="Arial"/>
        <family val="2"/>
      </rPr>
      <t xml:space="preserve"> (O for Master Service Agreement, else M)</t>
    </r>
  </si>
  <si>
    <t>Supplier_performance_reporting</t>
  </si>
  <si>
    <t>contract_manager_name</t>
  </si>
  <si>
    <t>contract_manager_email</t>
  </si>
  <si>
    <t>perform_manager_name</t>
  </si>
  <si>
    <t>perform_manager_email</t>
  </si>
  <si>
    <t>payment_type</t>
  </si>
  <si>
    <t>related_agreement_title</t>
  </si>
  <si>
    <t>related_agreement_start_date</t>
  </si>
  <si>
    <t>agreement_renewal</t>
  </si>
  <si>
    <t>agreement_renewal_period</t>
  </si>
  <si>
    <t>required_meeting_presence</t>
  </si>
  <si>
    <t>required_meeting_times</t>
  </si>
  <si>
    <t>reporting</t>
  </si>
  <si>
    <t>reporting_frequency</t>
  </si>
  <si>
    <t>assistance_resources</t>
  </si>
  <si>
    <t>resource_conditions</t>
  </si>
  <si>
    <t>Supplier_background</t>
  </si>
  <si>
    <t>service_schedule_title</t>
  </si>
  <si>
    <t>parent_agreement_number</t>
  </si>
  <si>
    <t>service_schedule_number</t>
  </si>
  <si>
    <t>contribution_outcome_objectives</t>
  </si>
  <si>
    <t>target_population</t>
  </si>
  <si>
    <t>Supplier_activities_contributions</t>
  </si>
  <si>
    <t>non-financial_activities_contributions</t>
  </si>
  <si>
    <t>indemnity_clause_enhancements</t>
  </si>
  <si>
    <t>parties_obligations</t>
  </si>
  <si>
    <t>relevant_quality_standards</t>
  </si>
  <si>
    <t>target_population_detail</t>
  </si>
  <si>
    <t>variation_clause</t>
  </si>
  <si>
    <t>service_name</t>
  </si>
  <si>
    <t>service_description</t>
  </si>
  <si>
    <t>invoice_reference</t>
  </si>
  <si>
    <t>invoicing_osa</t>
  </si>
  <si>
    <t>specify_dates</t>
  </si>
  <si>
    <t>pic_related_master_terms_number</t>
  </si>
  <si>
    <t>pic_related_master_terms_name</t>
  </si>
  <si>
    <t>agree_mang_email</t>
  </si>
  <si>
    <t>ss</t>
  </si>
  <si>
    <t>additional_service_specifications</t>
  </si>
  <si>
    <t>intellectual_property</t>
  </si>
  <si>
    <t>intellectual_property_uses</t>
  </si>
  <si>
    <t>changes_framework_terms_and_conditions</t>
  </si>
  <si>
    <t>enter_new_services</t>
  </si>
  <si>
    <t>loa_date</t>
  </si>
  <si>
    <t>CLM</t>
  </si>
  <si>
    <t>1. Case when all lines on contract are CABS then 'Scheduled Payments' 
2. when all lines on contract are CAPI 'Invoice-Based Payments'
3. when contract has mix of CABS and CAPI lines then 'Scheduled Payments,Invoice-Based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</si>
</sst>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4" x14ac:knownFonts="1">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Arial"/>
      <family val="2"/>
    </font>
    <font>
      <sz val="11"/>
      <color theme="1"/>
      <name val="Arial"/>
      <family val="2"/>
    </font>
    <font>
      <b/>
      <sz val="11"/>
      <name val="Calibri"/>
      <family val="2"/>
    </font>
    <font>
      <sz val="11"/>
      <color rgb="FF000000"/>
      <name val="Calibri"/>
      <family val="2"/>
    </font>
    <font>
      <b/>
      <sz val="11"/>
      <color theme="1"/>
      <name val="Calibri"/>
      <family val="2"/>
    </font>
    <font>
      <sz val="11"/>
      <color theme="1"/>
      <name val="Calibri"/>
      <family val="2"/>
    </font>
    <font>
      <sz val="11"/>
      <color theme="1"/>
      <name val="Calibri"/>
      <family val="2"/>
      <scheme val="minor"/>
    </font>
    <font>
      <sz val="11"/>
      <name val="Calibri"/>
      <family val="2"/>
    </font>
    <font>
      <b/>
      <sz val="11"/>
      <color theme="1"/>
      <name val="Calibri"/>
      <family val="2"/>
      <scheme val="minor"/>
    </font>
    <font>
      <sz val="11"/>
      <color indexed="8"/>
      <name val="Calibri"/>
      <family val="2"/>
      <scheme val="minor"/>
    </font>
    <font>
      <u/>
      <sz val="11"/>
      <color theme="10"/>
      <name val="Calibri"/>
      <family val="2"/>
      <scheme val="minor"/>
    </font>
    <font>
      <sz val="11"/>
      <color rgb="FFFF0000"/>
      <name val="Calibri"/>
      <family val="2"/>
      <scheme val="minor"/>
    </font>
    <font>
      <sz val="11"/>
      <color rgb="FF000000"/>
      <name val="Calibri"/>
      <family val="2"/>
      <scheme val="minor"/>
    </font>
    <font>
      <b/>
      <sz val="10"/>
      <color theme="1"/>
      <name val="Calibri"/>
      <family val="2"/>
      <scheme val="minor"/>
    </font>
    <font>
      <strike/>
      <sz val="11"/>
      <color theme="1"/>
      <name val="Arial"/>
      <family val="2"/>
    </font>
    <font>
      <strike/>
      <sz val="11"/>
      <color theme="1"/>
      <name val="Calibri"/>
      <family val="2"/>
      <scheme val="minor"/>
    </font>
    <font>
      <sz val="11"/>
      <color rgb="FF242424"/>
      <name val="Aptos Narrow"/>
      <family val="2"/>
    </font>
    <font>
      <sz val="8"/>
      <name val="Arial"/>
      <family val="2"/>
    </font>
    <font>
      <b/>
      <sz val="11"/>
      <name val="Calibri"/>
      <family val="2"/>
      <scheme val="minor"/>
    </font>
    <font>
      <sz val="11"/>
      <color rgb="FF242424"/>
      <name val="Calibri"/>
      <family val="2"/>
      <scheme val="minor"/>
    </font>
    <font>
      <sz val="11"/>
      <color rgb="FFED7D31"/>
      <name val="Calibri"/>
      <family val="2"/>
    </font>
    <font>
      <sz val="11"/>
      <color rgb="FFED7D31"/>
      <name val="Calibri"/>
      <family val="2"/>
      <scheme val="minor"/>
    </font>
    <font>
      <sz val="11"/>
      <color rgb="FFFFC000"/>
      <name val="Calibri"/>
      <family val="2"/>
    </font>
    <font>
      <b/>
      <sz val="11"/>
      <color theme="0"/>
      <name val="Calibri"/>
      <family val="2"/>
      <scheme val="minor"/>
    </font>
    <font>
      <sz val="11"/>
      <color rgb="FFFF0000"/>
      <name val="Arial"/>
      <family val="2"/>
    </font>
    <font>
      <i/>
      <sz val="11"/>
      <color rgb="FFFF0000"/>
      <name val="Arial"/>
      <family val="2"/>
    </font>
    <font>
      <i/>
      <sz val="11"/>
      <color theme="1"/>
      <name val="Arial"/>
      <family val="2"/>
    </font>
    <font>
      <sz val="11"/>
      <name val="Arial"/>
      <family val="2"/>
    </font>
  </fonts>
  <fills count="9">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4F81BD"/>
        <bgColor rgb="FF4F81BD"/>
      </patternFill>
    </fill>
    <fill>
      <patternFill patternType="solid">
        <fgColor theme="4" tint="0.59999389629810485"/>
        <bgColor theme="4" tint="0.59999389629810485"/>
      </patternFill>
    </fill>
    <fill>
      <patternFill patternType="solid">
        <fgColor theme="4"/>
        <bgColor theme="4"/>
      </patternFill>
    </fill>
    <fill>
      <patternFill patternType="solid">
        <fgColor theme="8" tint="0.59999389629810485"/>
        <bgColor indexed="64"/>
      </patternFill>
    </fill>
    <fill>
      <patternFill patternType="solid">
        <fgColor theme="4" tint="0.79998168889431442"/>
        <bgColor theme="4" tint="0.79998168889431442"/>
      </patternFill>
    </fill>
  </fills>
  <borders count="10">
    <border>
      <left/>
      <right/>
      <top/>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top style="thin">
        <color theme="0"/>
      </top>
      <bottom/>
      <diagonal/>
    </border>
    <border>
      <left style="thin">
        <color theme="0"/>
      </left>
      <right/>
      <top style="thin">
        <color theme="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bottom/>
      <diagonal/>
    </border>
  </borders>
  <cellStyleXfs count="8">
    <xf numFmtId="0" fontId="0" fillId="0" borderId="0"/>
    <xf numFmtId="0" fontId="7" fillId="0" borderId="0"/>
    <xf numFmtId="0" fontId="12" fillId="0" borderId="0"/>
    <xf numFmtId="0" fontId="15" fillId="0" borderId="0"/>
    <xf numFmtId="0" fontId="16" fillId="0" borderId="0" applyNumberFormat="0" applyFill="0" applyBorder="0" applyAlignment="0" applyProtection="0"/>
    <xf numFmtId="9" fontId="7" fillId="0" borderId="0" applyFont="0" applyFill="0" applyBorder="0" applyAlignment="0" applyProtection="0"/>
    <xf numFmtId="0" fontId="3" fillId="0" borderId="0"/>
    <xf numFmtId="0" fontId="1" fillId="0" borderId="0"/>
  </cellStyleXfs>
  <cellXfs count="71">
    <xf numFmtId="0" fontId="0" fillId="0" borderId="0" xfId="0"/>
    <xf numFmtId="0" fontId="0" fillId="0" borderId="0" xfId="0" applyAlignment="1">
      <alignment vertical="center"/>
    </xf>
    <xf numFmtId="0" fontId="0" fillId="0" borderId="0" xfId="0" applyAlignment="1">
      <alignment vertical="center" wrapText="1"/>
    </xf>
    <xf numFmtId="0" fontId="12" fillId="0" borderId="0" xfId="2"/>
    <xf numFmtId="0" fontId="12" fillId="0" borderId="0" xfId="2" applyAlignment="1">
      <alignment wrapText="1"/>
    </xf>
    <xf numFmtId="49" fontId="10" fillId="5" borderId="1" xfId="2" applyNumberFormat="1" applyFont="1" applyFill="1" applyBorder="1" applyAlignment="1">
      <alignment horizontal="left" vertical="center" wrapText="1"/>
    </xf>
    <xf numFmtId="0" fontId="14" fillId="5" borderId="1" xfId="2" applyFont="1" applyFill="1" applyBorder="1"/>
    <xf numFmtId="49" fontId="10" fillId="5" borderId="2" xfId="2" applyNumberFormat="1" applyFont="1" applyFill="1" applyBorder="1" applyAlignment="1">
      <alignment horizontal="left" vertical="center" wrapText="1"/>
    </xf>
    <xf numFmtId="49" fontId="13" fillId="0" borderId="0" xfId="3" applyNumberFormat="1" applyFont="1"/>
    <xf numFmtId="49" fontId="16" fillId="0" borderId="0" xfId="4" applyNumberFormat="1"/>
    <xf numFmtId="164" fontId="12" fillId="0" borderId="0" xfId="2" applyNumberFormat="1"/>
    <xf numFmtId="0" fontId="10" fillId="0" borderId="0" xfId="0" applyFont="1" applyAlignment="1">
      <alignment vertical="center" wrapText="1"/>
    </xf>
    <xf numFmtId="0" fontId="6" fillId="0" borderId="0" xfId="0" applyFont="1" applyAlignment="1">
      <alignment vertical="center" wrapText="1"/>
    </xf>
    <xf numFmtId="0" fontId="11" fillId="0" borderId="0" xfId="0" applyFont="1" applyAlignment="1">
      <alignment vertical="center" wrapText="1"/>
    </xf>
    <xf numFmtId="0" fontId="11" fillId="2" borderId="0" xfId="0" applyFont="1" applyFill="1" applyAlignment="1">
      <alignment vertical="center" wrapText="1"/>
    </xf>
    <xf numFmtId="49" fontId="13" fillId="2" borderId="0" xfId="3" applyNumberFormat="1" applyFont="1" applyFill="1" applyAlignment="1">
      <alignment vertical="center" wrapText="1"/>
    </xf>
    <xf numFmtId="49" fontId="13" fillId="0" borderId="0" xfId="3" applyNumberFormat="1" applyFont="1" applyAlignment="1">
      <alignment vertical="center" wrapText="1"/>
    </xf>
    <xf numFmtId="0" fontId="11" fillId="0" borderId="0" xfId="0" applyFont="1" applyAlignment="1">
      <alignment vertical="center"/>
    </xf>
    <xf numFmtId="49" fontId="13" fillId="2" borderId="0" xfId="3" applyNumberFormat="1" applyFont="1" applyFill="1" applyAlignment="1">
      <alignment vertical="center"/>
    </xf>
    <xf numFmtId="0" fontId="19" fillId="3" borderId="0" xfId="0" applyFont="1" applyFill="1" applyAlignment="1">
      <alignment horizontal="left" vertical="center" wrapText="1"/>
    </xf>
    <xf numFmtId="9" fontId="0" fillId="0" borderId="0" xfId="5" applyFont="1"/>
    <xf numFmtId="0" fontId="20" fillId="0" borderId="0" xfId="0" applyFont="1"/>
    <xf numFmtId="0" fontId="9" fillId="0" borderId="0" xfId="0" applyFont="1"/>
    <xf numFmtId="0" fontId="5" fillId="0" borderId="0" xfId="0" applyFont="1" applyAlignment="1">
      <alignment wrapText="1"/>
    </xf>
    <xf numFmtId="0" fontId="21" fillId="0" borderId="0" xfId="0" applyFont="1" applyAlignment="1">
      <alignment wrapText="1"/>
    </xf>
    <xf numFmtId="0" fontId="5" fillId="0" borderId="0" xfId="0" applyFont="1"/>
    <xf numFmtId="0" fontId="22" fillId="0" borderId="0" xfId="0" applyFont="1"/>
    <xf numFmtId="0" fontId="24" fillId="4" borderId="3" xfId="0" applyFont="1" applyFill="1" applyBorder="1" applyAlignment="1">
      <alignment wrapText="1"/>
    </xf>
    <xf numFmtId="0" fontId="4" fillId="0" borderId="0" xfId="0" applyFont="1" applyAlignment="1">
      <alignment wrapText="1"/>
    </xf>
    <xf numFmtId="0" fontId="25" fillId="0" borderId="0" xfId="0" applyFont="1" applyAlignment="1">
      <alignment wrapText="1"/>
    </xf>
    <xf numFmtId="14" fontId="24" fillId="4" borderId="0" xfId="0" applyNumberFormat="1" applyFont="1" applyFill="1" applyAlignment="1">
      <alignment wrapText="1"/>
    </xf>
    <xf numFmtId="0" fontId="17" fillId="3" borderId="0" xfId="0" applyFont="1" applyFill="1" applyAlignment="1">
      <alignment wrapText="1"/>
    </xf>
    <xf numFmtId="0" fontId="11" fillId="0" borderId="0" xfId="2" applyFont="1" applyAlignment="1">
      <alignment wrapText="1"/>
    </xf>
    <xf numFmtId="0" fontId="3" fillId="0" borderId="0" xfId="6"/>
    <xf numFmtId="0" fontId="8" fillId="6" borderId="4" xfId="6" applyFont="1" applyFill="1" applyBorder="1" applyAlignment="1">
      <alignment horizontal="center" vertical="top"/>
    </xf>
    <xf numFmtId="16" fontId="8" fillId="6" borderId="4" xfId="6" applyNumberFormat="1" applyFont="1" applyFill="1" applyBorder="1" applyAlignment="1">
      <alignment horizontal="center" vertical="top"/>
    </xf>
    <xf numFmtId="0" fontId="29" fillId="6" borderId="5" xfId="6" applyFont="1" applyFill="1" applyBorder="1"/>
    <xf numFmtId="0" fontId="3" fillId="5" borderId="6" xfId="6" applyFill="1" applyBorder="1"/>
    <xf numFmtId="0" fontId="3" fillId="8" borderId="7" xfId="6" applyFill="1" applyBorder="1"/>
    <xf numFmtId="0" fontId="3" fillId="5" borderId="7" xfId="6" applyFill="1" applyBorder="1"/>
    <xf numFmtId="0" fontId="17" fillId="8" borderId="7" xfId="6" applyFont="1" applyFill="1" applyBorder="1"/>
    <xf numFmtId="0" fontId="17" fillId="5" borderId="7" xfId="6" applyFont="1" applyFill="1" applyBorder="1"/>
    <xf numFmtId="0" fontId="17" fillId="5" borderId="6" xfId="6" applyFont="1" applyFill="1" applyBorder="1"/>
    <xf numFmtId="0" fontId="17" fillId="5" borderId="7" xfId="6" applyFont="1" applyFill="1" applyBorder="1" applyAlignment="1">
      <alignment vertical="top"/>
    </xf>
    <xf numFmtId="0" fontId="19" fillId="3" borderId="0" xfId="0" applyFont="1" applyFill="1" applyAlignment="1">
      <alignment horizontal="left" vertical="center"/>
    </xf>
    <xf numFmtId="0" fontId="11" fillId="0" borderId="0" xfId="0" applyFont="1" applyAlignment="1">
      <alignment wrapText="1"/>
    </xf>
    <xf numFmtId="0" fontId="6" fillId="0" borderId="0" xfId="0" applyFont="1"/>
    <xf numFmtId="0" fontId="31" fillId="0" borderId="0" xfId="0" applyFont="1"/>
    <xf numFmtId="0" fontId="30" fillId="0" borderId="0" xfId="0" applyFont="1"/>
    <xf numFmtId="0" fontId="19" fillId="3" borderId="0" xfId="0" applyFont="1" applyFill="1" applyAlignment="1">
      <alignment horizontal="left"/>
    </xf>
    <xf numFmtId="0" fontId="2" fillId="0" borderId="0" xfId="0" applyFont="1" applyAlignment="1">
      <alignment wrapText="1"/>
    </xf>
    <xf numFmtId="0" fontId="2" fillId="0" borderId="0" xfId="0" applyFont="1"/>
    <xf numFmtId="0" fontId="2" fillId="0" borderId="0" xfId="6" applyFont="1"/>
    <xf numFmtId="0" fontId="29" fillId="6" borderId="5" xfId="6" applyFont="1" applyFill="1" applyBorder="1" applyAlignment="1">
      <alignment wrapText="1"/>
    </xf>
    <xf numFmtId="0" fontId="24" fillId="6" borderId="3" xfId="0" applyFont="1" applyFill="1" applyBorder="1" applyAlignment="1">
      <alignment horizontal="center" vertical="top" wrapText="1"/>
    </xf>
    <xf numFmtId="0" fontId="24" fillId="6" borderId="3" xfId="0" applyFont="1" applyFill="1" applyBorder="1" applyAlignment="1">
      <alignment horizontal="center" vertical="top"/>
    </xf>
    <xf numFmtId="0" fontId="19" fillId="3" borderId="8" xfId="0" applyFont="1" applyFill="1" applyBorder="1"/>
    <xf numFmtId="0" fontId="24" fillId="6" borderId="9" xfId="0" applyFont="1" applyFill="1" applyBorder="1" applyAlignment="1">
      <alignment horizontal="center" vertical="top" wrapText="1"/>
    </xf>
    <xf numFmtId="0" fontId="1" fillId="0" borderId="0" xfId="0" applyFont="1"/>
    <xf numFmtId="0" fontId="1" fillId="0" borderId="0" xfId="0" applyFont="1" applyAlignment="1">
      <alignment wrapText="1"/>
    </xf>
    <xf numFmtId="0" fontId="14" fillId="0" borderId="0" xfId="0" applyFont="1" applyAlignment="1">
      <alignment wrapText="1"/>
    </xf>
    <xf numFmtId="0" fontId="1" fillId="0" borderId="0" xfId="2" applyFont="1" applyAlignment="1">
      <alignment wrapText="1"/>
    </xf>
    <xf numFmtId="0" fontId="1" fillId="0" borderId="0" xfId="2" applyFont="1" applyAlignment="1">
      <alignment vertical="center" wrapText="1"/>
    </xf>
    <xf numFmtId="0" fontId="1" fillId="0" borderId="0" xfId="6" applyFont="1"/>
    <xf numFmtId="0" fontId="1" fillId="3" borderId="0" xfId="0" applyFont="1" applyFill="1" applyAlignment="1">
      <alignment wrapText="1"/>
    </xf>
    <xf numFmtId="0" fontId="1" fillId="2" borderId="0" xfId="0" applyFont="1" applyFill="1" applyAlignment="1">
      <alignment wrapText="1"/>
    </xf>
    <xf numFmtId="0" fontId="1" fillId="7" borderId="0" xfId="0" applyFont="1" applyFill="1" applyAlignment="1">
      <alignment wrapText="1"/>
    </xf>
    <xf numFmtId="0" fontId="1" fillId="0" borderId="0" xfId="2" applyFont="1" applyAlignment="1">
      <alignment vertical="center"/>
    </xf>
    <xf numFmtId="0" fontId="1" fillId="0" borderId="0" xfId="0" applyFont="1" applyAlignment="1">
      <alignment vertical="center"/>
    </xf>
    <xf numFmtId="0" fontId="2" fillId="0" borderId="0" xfId="0" applyFont="1" applyAlignment="1">
      <alignment vertical="center"/>
    </xf>
    <xf numFmtId="0" fontId="33" fillId="0" borderId="0" xfId="0" applyFont="1"/>
  </cellXfs>
  <cellStyles count="8">
    <cellStyle name="Hyperlink 2" xfId="4" xr:uid="{DD5027C6-E714-424E-9344-A2E6936FB96B}"/>
    <cellStyle name="Normal" xfId="0" builtinId="0"/>
    <cellStyle name="Normal 2" xfId="2" xr:uid="{69DBB7DE-0A7C-4E59-BB72-1C0BE080174C}"/>
    <cellStyle name="Normal 2 2" xfId="3" xr:uid="{23430AD6-4D0D-45B8-82CC-BDD84DFC3E16}"/>
    <cellStyle name="Normal 3" xfId="6" xr:uid="{37E58495-BEEE-4AD6-A184-C1901076DADF}"/>
    <cellStyle name="Normal 3 2" xfId="1" xr:uid="{BC8F6666-04E4-4433-939D-1831681B7BD2}"/>
    <cellStyle name="Normal 4" xfId="7" xr:uid="{DC5AA7E1-07E2-4931-9FA9-2DB7F525BBCC}"/>
    <cellStyle name="Percent" xfId="5" builtinId="5"/>
  </cellStyles>
  <dxfs count="0"/>
  <tableStyles count="0" defaultTableStyle="TableStyleMedium2" defaultPivotStyle="PivotStyleLight16"/>
  <colors>
    <mruColors>
      <color rgb="FFD317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hello@xy.com" TargetMode="External"/><Relationship Id="rId1" Type="http://schemas.openxmlformats.org/officeDocument/2006/relationships/hyperlink" Target="mailto:hello@xy.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64FD8-4292-477B-94C5-A998C4612EAF}">
  <dimension ref="C1:J38"/>
  <sheetViews>
    <sheetView topLeftCell="A21" workbookViewId="0">
      <selection activeCell="D26" sqref="D26"/>
    </sheetView>
  </sheetViews>
  <sheetFormatPr defaultRowHeight="14.25" x14ac:dyDescent="0.2"/>
  <cols>
    <col min="3" max="3" width="16.125" bestFit="1" customWidth="1"/>
    <col min="4" max="4" width="19.5" bestFit="1" customWidth="1"/>
    <col min="5" max="5" width="95.125" customWidth="1"/>
    <col min="6" max="6" width="22.875" customWidth="1"/>
    <col min="7" max="7" width="14.875" bestFit="1" customWidth="1"/>
    <col min="8" max="8" width="14" bestFit="1" customWidth="1"/>
    <col min="9" max="9" width="19" bestFit="1" customWidth="1"/>
    <col min="10" max="10" width="15.125" customWidth="1"/>
  </cols>
  <sheetData>
    <row r="1" spans="3:10" x14ac:dyDescent="0.2">
      <c r="D1" t="s">
        <v>0</v>
      </c>
      <c r="E1" t="s">
        <v>1</v>
      </c>
      <c r="F1" t="s">
        <v>2</v>
      </c>
      <c r="G1" t="s">
        <v>3</v>
      </c>
      <c r="H1" t="s">
        <v>4</v>
      </c>
      <c r="I1" t="s">
        <v>5</v>
      </c>
      <c r="J1" t="s">
        <v>6</v>
      </c>
    </row>
    <row r="2" spans="3:10" x14ac:dyDescent="0.2">
      <c r="D2" t="s">
        <v>7</v>
      </c>
      <c r="E2">
        <v>30</v>
      </c>
      <c r="F2">
        <v>10</v>
      </c>
      <c r="G2">
        <v>5</v>
      </c>
      <c r="H2">
        <v>41</v>
      </c>
      <c r="I2">
        <v>12</v>
      </c>
      <c r="J2">
        <v>3</v>
      </c>
    </row>
    <row r="3" spans="3:10" x14ac:dyDescent="0.2">
      <c r="D3" t="s">
        <v>8</v>
      </c>
      <c r="E3">
        <v>15</v>
      </c>
      <c r="F3">
        <v>3</v>
      </c>
      <c r="G3">
        <v>1</v>
      </c>
      <c r="H3">
        <v>40</v>
      </c>
      <c r="I3">
        <v>10</v>
      </c>
      <c r="J3">
        <v>3</v>
      </c>
    </row>
    <row r="4" spans="3:10" x14ac:dyDescent="0.2">
      <c r="D4" t="s">
        <v>9</v>
      </c>
      <c r="E4">
        <v>15</v>
      </c>
      <c r="F4">
        <v>2</v>
      </c>
      <c r="G4">
        <v>1</v>
      </c>
      <c r="H4">
        <v>28</v>
      </c>
      <c r="I4">
        <v>10</v>
      </c>
      <c r="J4">
        <v>3</v>
      </c>
    </row>
    <row r="5" spans="3:10" x14ac:dyDescent="0.2">
      <c r="D5" t="s">
        <v>10</v>
      </c>
      <c r="E5" s="20">
        <f t="shared" ref="E5:J5" si="0">E4/E3</f>
        <v>1</v>
      </c>
      <c r="F5" s="20">
        <f t="shared" si="0"/>
        <v>0.66666666666666663</v>
      </c>
      <c r="G5" s="20">
        <f t="shared" si="0"/>
        <v>1</v>
      </c>
      <c r="H5" s="20">
        <f t="shared" si="0"/>
        <v>0.7</v>
      </c>
      <c r="I5" s="20">
        <f t="shared" si="0"/>
        <v>1</v>
      </c>
      <c r="J5" s="20">
        <f t="shared" si="0"/>
        <v>1</v>
      </c>
    </row>
    <row r="7" spans="3:10" x14ac:dyDescent="0.2">
      <c r="C7" t="s">
        <v>11</v>
      </c>
      <c r="D7" t="s">
        <v>12</v>
      </c>
      <c r="E7" t="s">
        <v>13</v>
      </c>
      <c r="F7" t="s">
        <v>14</v>
      </c>
      <c r="G7" t="s">
        <v>15</v>
      </c>
      <c r="H7" t="s">
        <v>16</v>
      </c>
    </row>
    <row r="8" spans="3:10" x14ac:dyDescent="0.2">
      <c r="C8" t="s">
        <v>1</v>
      </c>
      <c r="D8" s="21" t="s">
        <v>17</v>
      </c>
      <c r="E8" t="s">
        <v>18</v>
      </c>
      <c r="F8" t="s">
        <v>19</v>
      </c>
      <c r="G8" t="s">
        <v>20</v>
      </c>
    </row>
    <row r="9" spans="3:10" x14ac:dyDescent="0.2">
      <c r="C9" t="s">
        <v>1</v>
      </c>
      <c r="D9" s="21" t="s">
        <v>21</v>
      </c>
      <c r="E9" t="s">
        <v>22</v>
      </c>
      <c r="F9" t="s">
        <v>23</v>
      </c>
      <c r="G9" t="s">
        <v>20</v>
      </c>
    </row>
    <row r="10" spans="3:10" x14ac:dyDescent="0.2">
      <c r="C10" t="s">
        <v>1</v>
      </c>
      <c r="D10" s="21" t="s">
        <v>24</v>
      </c>
      <c r="E10" t="s">
        <v>25</v>
      </c>
      <c r="F10" t="s">
        <v>26</v>
      </c>
      <c r="G10" t="s">
        <v>20</v>
      </c>
    </row>
    <row r="11" spans="3:10" x14ac:dyDescent="0.2">
      <c r="C11" t="s">
        <v>1</v>
      </c>
      <c r="D11" s="21" t="s">
        <v>27</v>
      </c>
      <c r="E11" t="s">
        <v>28</v>
      </c>
      <c r="F11" t="s">
        <v>29</v>
      </c>
      <c r="G11" t="s">
        <v>20</v>
      </c>
    </row>
    <row r="12" spans="3:10" x14ac:dyDescent="0.2">
      <c r="C12" t="s">
        <v>1</v>
      </c>
      <c r="D12" s="21" t="s">
        <v>30</v>
      </c>
      <c r="E12" t="s">
        <v>31</v>
      </c>
      <c r="F12" t="s">
        <v>32</v>
      </c>
      <c r="G12" t="s">
        <v>20</v>
      </c>
    </row>
    <row r="13" spans="3:10" x14ac:dyDescent="0.2">
      <c r="C13" t="s">
        <v>1</v>
      </c>
      <c r="D13" s="21" t="s">
        <v>33</v>
      </c>
      <c r="E13" t="s">
        <v>34</v>
      </c>
      <c r="F13" t="s">
        <v>35</v>
      </c>
      <c r="G13" t="s">
        <v>20</v>
      </c>
    </row>
    <row r="14" spans="3:10" x14ac:dyDescent="0.2">
      <c r="C14" t="s">
        <v>2</v>
      </c>
      <c r="D14" s="21" t="s">
        <v>36</v>
      </c>
      <c r="E14" s="21" t="s">
        <v>37</v>
      </c>
      <c r="F14" t="s">
        <v>38</v>
      </c>
      <c r="G14" t="s">
        <v>20</v>
      </c>
      <c r="H14" t="s">
        <v>39</v>
      </c>
    </row>
    <row r="15" spans="3:10" x14ac:dyDescent="0.2">
      <c r="C15" t="s">
        <v>5</v>
      </c>
      <c r="D15" s="21" t="s">
        <v>40</v>
      </c>
      <c r="E15" t="s">
        <v>41</v>
      </c>
      <c r="F15" t="s">
        <v>42</v>
      </c>
      <c r="G15" t="s">
        <v>20</v>
      </c>
      <c r="H15" t="s">
        <v>39</v>
      </c>
      <c r="I15" t="s">
        <v>43</v>
      </c>
    </row>
    <row r="16" spans="3:10" x14ac:dyDescent="0.2">
      <c r="C16" t="s">
        <v>4</v>
      </c>
      <c r="D16" s="21" t="s">
        <v>40</v>
      </c>
      <c r="E16" t="s">
        <v>41</v>
      </c>
      <c r="F16" t="s">
        <v>42</v>
      </c>
      <c r="G16" t="s">
        <v>20</v>
      </c>
      <c r="H16" t="s">
        <v>44</v>
      </c>
    </row>
    <row r="17" spans="3:9" x14ac:dyDescent="0.2">
      <c r="C17" t="s">
        <v>4</v>
      </c>
      <c r="D17" t="s">
        <v>45</v>
      </c>
      <c r="E17" t="s">
        <v>46</v>
      </c>
      <c r="G17" t="s">
        <v>20</v>
      </c>
      <c r="H17" t="s">
        <v>39</v>
      </c>
      <c r="I17" s="47" t="s">
        <v>47</v>
      </c>
    </row>
    <row r="18" spans="3:9" x14ac:dyDescent="0.2">
      <c r="C18" t="s">
        <v>4</v>
      </c>
      <c r="D18" s="21" t="s">
        <v>48</v>
      </c>
      <c r="E18" s="21" t="s">
        <v>49</v>
      </c>
      <c r="F18" s="21" t="s">
        <v>50</v>
      </c>
      <c r="G18" t="s">
        <v>20</v>
      </c>
      <c r="H18" t="s">
        <v>39</v>
      </c>
    </row>
    <row r="19" spans="3:9" x14ac:dyDescent="0.2">
      <c r="C19" t="s">
        <v>4</v>
      </c>
      <c r="D19" s="21" t="s">
        <v>51</v>
      </c>
      <c r="E19" t="s">
        <v>52</v>
      </c>
      <c r="F19" t="s">
        <v>53</v>
      </c>
      <c r="G19" t="s">
        <v>20</v>
      </c>
      <c r="H19" t="s">
        <v>39</v>
      </c>
      <c r="I19" t="s">
        <v>43</v>
      </c>
    </row>
    <row r="20" spans="3:9" x14ac:dyDescent="0.2">
      <c r="C20" t="s">
        <v>4</v>
      </c>
      <c r="D20" s="21" t="s">
        <v>54</v>
      </c>
      <c r="E20" t="s">
        <v>55</v>
      </c>
      <c r="F20" t="s">
        <v>56</v>
      </c>
      <c r="G20" t="s">
        <v>20</v>
      </c>
      <c r="H20" t="s">
        <v>39</v>
      </c>
    </row>
    <row r="21" spans="3:9" x14ac:dyDescent="0.2">
      <c r="C21" t="s">
        <v>4</v>
      </c>
      <c r="D21" s="21" t="s">
        <v>57</v>
      </c>
      <c r="E21" s="21" t="s">
        <v>58</v>
      </c>
      <c r="G21" t="s">
        <v>20</v>
      </c>
      <c r="H21" t="s">
        <v>39</v>
      </c>
      <c r="I21" t="s">
        <v>43</v>
      </c>
    </row>
    <row r="22" spans="3:9" x14ac:dyDescent="0.2">
      <c r="C22" t="s">
        <v>4</v>
      </c>
      <c r="D22" s="21" t="s">
        <v>59</v>
      </c>
      <c r="E22" t="s">
        <v>60</v>
      </c>
      <c r="F22" t="s">
        <v>61</v>
      </c>
      <c r="G22" t="s">
        <v>20</v>
      </c>
      <c r="H22" t="s">
        <v>39</v>
      </c>
      <c r="I22" t="s">
        <v>43</v>
      </c>
    </row>
    <row r="23" spans="3:9" x14ac:dyDescent="0.2">
      <c r="C23" t="s">
        <v>4</v>
      </c>
      <c r="D23" s="21" t="s">
        <v>62</v>
      </c>
      <c r="E23" t="s">
        <v>60</v>
      </c>
      <c r="F23" t="s">
        <v>61</v>
      </c>
      <c r="G23" t="s">
        <v>20</v>
      </c>
      <c r="H23" t="s">
        <v>39</v>
      </c>
      <c r="I23" t="s">
        <v>43</v>
      </c>
    </row>
    <row r="24" spans="3:9" x14ac:dyDescent="0.2">
      <c r="C24" t="s">
        <v>4</v>
      </c>
      <c r="D24" s="21" t="s">
        <v>63</v>
      </c>
      <c r="E24" t="s">
        <v>64</v>
      </c>
      <c r="F24" t="s">
        <v>61</v>
      </c>
      <c r="G24" t="s">
        <v>20</v>
      </c>
      <c r="H24" t="s">
        <v>39</v>
      </c>
    </row>
    <row r="25" spans="3:9" x14ac:dyDescent="0.2">
      <c r="C25" t="s">
        <v>4</v>
      </c>
      <c r="D25" s="21" t="s">
        <v>65</v>
      </c>
      <c r="E25" t="s">
        <v>66</v>
      </c>
      <c r="F25" t="s">
        <v>61</v>
      </c>
      <c r="G25" t="s">
        <v>20</v>
      </c>
      <c r="H25" t="s">
        <v>39</v>
      </c>
      <c r="I25" t="s">
        <v>43</v>
      </c>
    </row>
    <row r="26" spans="3:9" x14ac:dyDescent="0.2">
      <c r="C26" t="s">
        <v>4</v>
      </c>
      <c r="D26" t="s">
        <v>67</v>
      </c>
      <c r="E26" t="s">
        <v>68</v>
      </c>
      <c r="F26" s="48" t="s">
        <v>69</v>
      </c>
      <c r="G26" t="s">
        <v>20</v>
      </c>
      <c r="H26" t="s">
        <v>39</v>
      </c>
    </row>
    <row r="27" spans="3:9" x14ac:dyDescent="0.2">
      <c r="C27" t="s">
        <v>4</v>
      </c>
      <c r="D27" s="21" t="s">
        <v>70</v>
      </c>
      <c r="E27" t="s">
        <v>71</v>
      </c>
      <c r="F27" t="s">
        <v>61</v>
      </c>
      <c r="G27" t="s">
        <v>20</v>
      </c>
      <c r="H27" t="s">
        <v>39</v>
      </c>
    </row>
    <row r="28" spans="3:9" x14ac:dyDescent="0.2">
      <c r="C28" t="s">
        <v>4</v>
      </c>
      <c r="D28" s="21" t="s">
        <v>72</v>
      </c>
      <c r="E28" t="s">
        <v>71</v>
      </c>
      <c r="F28" t="s">
        <v>61</v>
      </c>
      <c r="G28" t="s">
        <v>20</v>
      </c>
      <c r="H28" t="s">
        <v>39</v>
      </c>
    </row>
    <row r="29" spans="3:9" x14ac:dyDescent="0.2">
      <c r="C29" t="s">
        <v>4</v>
      </c>
      <c r="D29" t="s">
        <v>73</v>
      </c>
      <c r="E29" t="s">
        <v>74</v>
      </c>
      <c r="F29" t="s">
        <v>50</v>
      </c>
      <c r="G29" t="s">
        <v>20</v>
      </c>
      <c r="H29" t="s">
        <v>39</v>
      </c>
    </row>
    <row r="31" spans="3:9" ht="15" x14ac:dyDescent="0.25">
      <c r="C31" s="46" t="s">
        <v>75</v>
      </c>
    </row>
    <row r="32" spans="3:9" ht="15" x14ac:dyDescent="0.25">
      <c r="C32" s="22" t="s">
        <v>76</v>
      </c>
      <c r="D32" t="s">
        <v>45</v>
      </c>
      <c r="E32" s="47" t="s">
        <v>47</v>
      </c>
      <c r="F32" t="s">
        <v>61</v>
      </c>
    </row>
    <row r="33" spans="3:6" ht="15" x14ac:dyDescent="0.25">
      <c r="C33" s="22" t="s">
        <v>76</v>
      </c>
      <c r="D33" t="s">
        <v>67</v>
      </c>
      <c r="E33" t="s">
        <v>68</v>
      </c>
      <c r="F33" s="48" t="s">
        <v>69</v>
      </c>
    </row>
    <row r="34" spans="3:6" ht="15" x14ac:dyDescent="0.25">
      <c r="C34" s="22" t="s">
        <v>76</v>
      </c>
      <c r="D34" t="s">
        <v>73</v>
      </c>
      <c r="E34" t="s">
        <v>74</v>
      </c>
      <c r="F34" t="s">
        <v>50</v>
      </c>
    </row>
    <row r="38" spans="3:6" ht="15" x14ac:dyDescent="0.25">
      <c r="D38" s="22"/>
      <c r="E38" s="2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216DC-10D9-4320-9ECA-CC8242B55662}">
  <dimension ref="A1:F13"/>
  <sheetViews>
    <sheetView workbookViewId="0">
      <selection activeCell="A8" sqref="A8"/>
    </sheetView>
  </sheetViews>
  <sheetFormatPr defaultColWidth="9" defaultRowHeight="15" x14ac:dyDescent="0.25"/>
  <cols>
    <col min="1" max="1" width="62.875" style="23" customWidth="1"/>
    <col min="2" max="2" width="38.625" style="23" customWidth="1"/>
    <col min="3" max="5" width="9" style="23"/>
    <col min="6" max="6" width="31.5" style="25" customWidth="1"/>
    <col min="7" max="16384" width="9" style="23"/>
  </cols>
  <sheetData>
    <row r="1" spans="1:6" x14ac:dyDescent="0.25">
      <c r="A1" s="59"/>
      <c r="B1" s="59"/>
      <c r="C1" s="59"/>
      <c r="D1" s="59"/>
      <c r="E1" s="59"/>
      <c r="F1" s="58" t="s">
        <v>77</v>
      </c>
    </row>
    <row r="2" spans="1:6" ht="45" x14ac:dyDescent="0.25">
      <c r="A2" s="24" t="s">
        <v>78</v>
      </c>
      <c r="B2" s="24" t="s">
        <v>79</v>
      </c>
      <c r="C2" s="59"/>
      <c r="D2" s="59"/>
      <c r="E2" s="59"/>
      <c r="F2" s="58" t="s">
        <v>80</v>
      </c>
    </row>
    <row r="3" spans="1:6" x14ac:dyDescent="0.25">
      <c r="A3" s="24" t="s">
        <v>81</v>
      </c>
      <c r="B3" s="24" t="s">
        <v>79</v>
      </c>
      <c r="C3" s="59"/>
      <c r="D3" s="59"/>
      <c r="E3" s="59"/>
      <c r="F3" s="58" t="s">
        <v>82</v>
      </c>
    </row>
    <row r="4" spans="1:6" ht="30" x14ac:dyDescent="0.25">
      <c r="A4" s="24" t="s">
        <v>83</v>
      </c>
      <c r="B4" s="24" t="s">
        <v>84</v>
      </c>
      <c r="C4" s="59"/>
      <c r="D4" s="59"/>
      <c r="E4" s="59"/>
      <c r="F4" s="58" t="s">
        <v>85</v>
      </c>
    </row>
    <row r="5" spans="1:6" x14ac:dyDescent="0.25">
      <c r="A5" s="59" t="s">
        <v>86</v>
      </c>
      <c r="B5" s="59"/>
      <c r="C5" s="59"/>
      <c r="D5" s="59"/>
      <c r="E5" s="59"/>
      <c r="F5" s="58" t="s">
        <v>87</v>
      </c>
    </row>
    <row r="6" spans="1:6" ht="30" x14ac:dyDescent="0.25">
      <c r="A6" s="59" t="s">
        <v>88</v>
      </c>
      <c r="B6" s="59"/>
      <c r="C6" s="59"/>
      <c r="D6" s="59"/>
      <c r="E6" s="59"/>
      <c r="F6" s="58" t="s">
        <v>89</v>
      </c>
    </row>
    <row r="7" spans="1:6" x14ac:dyDescent="0.25">
      <c r="A7" s="59" t="s">
        <v>90</v>
      </c>
      <c r="B7" s="59"/>
      <c r="C7" s="59"/>
      <c r="D7" s="59"/>
      <c r="E7" s="59"/>
      <c r="F7" s="58" t="s">
        <v>91</v>
      </c>
    </row>
    <row r="8" spans="1:6" ht="30" x14ac:dyDescent="0.25">
      <c r="A8" s="59" t="s">
        <v>92</v>
      </c>
      <c r="B8" s="59"/>
      <c r="C8" s="59"/>
      <c r="D8" s="59"/>
      <c r="E8" s="59"/>
      <c r="F8" s="58" t="s">
        <v>93</v>
      </c>
    </row>
    <row r="9" spans="1:6" ht="30" x14ac:dyDescent="0.25">
      <c r="A9" s="59" t="s">
        <v>94</v>
      </c>
      <c r="B9" s="59"/>
      <c r="C9" s="59"/>
      <c r="D9" s="59"/>
      <c r="E9" s="59"/>
      <c r="F9" s="58" t="s">
        <v>95</v>
      </c>
    </row>
    <row r="10" spans="1:6" x14ac:dyDescent="0.25">
      <c r="A10" s="59"/>
      <c r="B10" s="59"/>
      <c r="C10" s="59"/>
      <c r="D10" s="59"/>
      <c r="E10" s="59"/>
      <c r="F10" s="58" t="s">
        <v>96</v>
      </c>
    </row>
    <row r="11" spans="1:6" x14ac:dyDescent="0.25">
      <c r="A11" s="59"/>
      <c r="B11" s="59"/>
      <c r="C11" s="59"/>
      <c r="D11" s="59"/>
      <c r="E11" s="59"/>
      <c r="F11" s="58" t="s">
        <v>97</v>
      </c>
    </row>
    <row r="12" spans="1:6" x14ac:dyDescent="0.25">
      <c r="A12" s="59"/>
      <c r="B12" s="59"/>
      <c r="C12" s="59"/>
      <c r="D12" s="59"/>
      <c r="E12" s="59"/>
      <c r="F12" s="58" t="s">
        <v>98</v>
      </c>
    </row>
    <row r="13" spans="1:6" x14ac:dyDescent="0.25">
      <c r="A13" s="59"/>
      <c r="B13" s="59"/>
      <c r="C13" s="59"/>
      <c r="D13" s="59"/>
      <c r="E13" s="59"/>
      <c r="F13" s="26"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78E79-C4AB-445D-87EF-59819633C3C4}">
  <dimension ref="A1:AA2"/>
  <sheetViews>
    <sheetView topLeftCell="G1" workbookViewId="0">
      <selection activeCell="X2" sqref="X2"/>
    </sheetView>
  </sheetViews>
  <sheetFormatPr defaultColWidth="9" defaultRowHeight="15" x14ac:dyDescent="0.25"/>
  <cols>
    <col min="1" max="1" width="13.625" style="3" customWidth="1"/>
    <col min="2" max="2" width="16.875" style="3" customWidth="1"/>
    <col min="3" max="3" width="9" style="3"/>
    <col min="4" max="4" width="20.125" style="3" bestFit="1" customWidth="1"/>
    <col min="5" max="5" width="21.625" style="3" customWidth="1"/>
    <col min="6" max="6" width="12.125" style="3" bestFit="1" customWidth="1"/>
    <col min="7" max="7" width="14.125" style="3" customWidth="1"/>
    <col min="8" max="8" width="13.625" style="3" customWidth="1"/>
    <col min="9" max="9" width="14.125" style="3" customWidth="1"/>
    <col min="10" max="10" width="15.375" style="3" bestFit="1" customWidth="1"/>
    <col min="11" max="11" width="9" style="3"/>
    <col min="12" max="12" width="15" style="3" customWidth="1"/>
    <col min="13" max="13" width="18.125" style="3" customWidth="1"/>
    <col min="14" max="14" width="19.125" style="3" customWidth="1"/>
    <col min="15" max="20" width="9" style="3"/>
    <col min="21" max="21" width="15.125" style="3" customWidth="1"/>
    <col min="22" max="16384" width="9" style="3"/>
  </cols>
  <sheetData>
    <row r="1" spans="1:27" ht="45" x14ac:dyDescent="0.25">
      <c r="A1" s="5" t="s">
        <v>100</v>
      </c>
      <c r="B1" s="5" t="s">
        <v>101</v>
      </c>
      <c r="C1" s="6" t="s">
        <v>102</v>
      </c>
      <c r="D1" s="6" t="s">
        <v>103</v>
      </c>
      <c r="E1" s="5" t="s">
        <v>104</v>
      </c>
      <c r="F1" s="5" t="s">
        <v>105</v>
      </c>
      <c r="G1" s="5" t="s">
        <v>106</v>
      </c>
      <c r="H1" s="5" t="s">
        <v>107</v>
      </c>
      <c r="I1" s="5" t="s">
        <v>21</v>
      </c>
      <c r="J1" s="5" t="s">
        <v>17</v>
      </c>
      <c r="K1" s="5" t="s">
        <v>108</v>
      </c>
      <c r="L1" s="5" t="s">
        <v>109</v>
      </c>
      <c r="M1" s="5" t="s">
        <v>110</v>
      </c>
      <c r="N1" s="5" t="s">
        <v>111</v>
      </c>
      <c r="O1" s="5" t="s">
        <v>24</v>
      </c>
      <c r="P1" s="5" t="s">
        <v>112</v>
      </c>
      <c r="Q1" s="5" t="s">
        <v>113</v>
      </c>
      <c r="R1" s="5" t="s">
        <v>114</v>
      </c>
      <c r="S1" s="5" t="s">
        <v>27</v>
      </c>
      <c r="T1" s="5" t="s">
        <v>115</v>
      </c>
      <c r="U1" s="5" t="s">
        <v>116</v>
      </c>
      <c r="V1" s="5" t="s">
        <v>117</v>
      </c>
      <c r="W1" s="5" t="s">
        <v>30</v>
      </c>
      <c r="X1" s="5" t="s">
        <v>118</v>
      </c>
      <c r="Y1" s="5" t="s">
        <v>119</v>
      </c>
      <c r="Z1" s="5" t="s">
        <v>120</v>
      </c>
      <c r="AA1" s="7" t="s">
        <v>121</v>
      </c>
    </row>
    <row r="2" spans="1:27" ht="45" x14ac:dyDescent="0.25">
      <c r="A2" s="3" t="s">
        <v>122</v>
      </c>
      <c r="B2" s="8" t="s">
        <v>123</v>
      </c>
      <c r="E2" s="3" t="s">
        <v>124</v>
      </c>
      <c r="F2" s="3" t="s">
        <v>125</v>
      </c>
      <c r="G2" s="3" t="s">
        <v>122</v>
      </c>
      <c r="H2" s="3">
        <v>100</v>
      </c>
      <c r="I2" s="9" t="s">
        <v>126</v>
      </c>
      <c r="J2" s="8" t="s">
        <v>127</v>
      </c>
      <c r="K2" s="8" t="s">
        <v>128</v>
      </c>
      <c r="M2" s="10">
        <v>45383</v>
      </c>
      <c r="N2" s="10">
        <v>45748</v>
      </c>
      <c r="O2" s="3" t="s">
        <v>129</v>
      </c>
      <c r="P2" s="3" t="s">
        <v>130</v>
      </c>
      <c r="Q2" s="3">
        <v>50000</v>
      </c>
      <c r="R2" s="3">
        <v>1</v>
      </c>
      <c r="S2" s="8" t="s">
        <v>127</v>
      </c>
      <c r="T2" s="3" t="s">
        <v>130</v>
      </c>
      <c r="U2" s="3" t="s">
        <v>130</v>
      </c>
      <c r="V2" s="4" t="s">
        <v>131</v>
      </c>
      <c r="W2" s="4" t="s">
        <v>132</v>
      </c>
      <c r="X2" s="3" t="s">
        <v>133</v>
      </c>
      <c r="Y2" s="3">
        <v>60</v>
      </c>
      <c r="Z2" s="3">
        <v>0</v>
      </c>
      <c r="AA2" s="9" t="s">
        <v>126</v>
      </c>
    </row>
  </sheetData>
  <hyperlinks>
    <hyperlink ref="I2" r:id="rId1" xr:uid="{AE756309-ED89-40ED-AE4B-5DE3379BEA57}"/>
    <hyperlink ref="AA2" r:id="rId2" xr:uid="{BAF15FF3-0FD4-4CC1-9CEA-87CA6F44A021}"/>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B389C-8D52-4737-AAA7-CE47180051AC}">
  <sheetPr>
    <tabColor rgb="FFFFC000"/>
  </sheetPr>
  <dimension ref="A1:H18"/>
  <sheetViews>
    <sheetView workbookViewId="0">
      <selection activeCell="J3" sqref="J3"/>
    </sheetView>
  </sheetViews>
  <sheetFormatPr defaultRowHeight="14.25" x14ac:dyDescent="0.2"/>
  <sheetData>
    <row r="1" spans="1:8" ht="45" x14ac:dyDescent="0.2">
      <c r="A1" s="11" t="s">
        <v>134</v>
      </c>
      <c r="B1" s="11" t="s">
        <v>135</v>
      </c>
      <c r="C1" s="11" t="s">
        <v>136</v>
      </c>
      <c r="D1" s="2"/>
      <c r="E1" s="12" t="s">
        <v>137</v>
      </c>
      <c r="F1" s="12" t="s">
        <v>138</v>
      </c>
      <c r="G1" s="12" t="s">
        <v>139</v>
      </c>
      <c r="H1" s="12" t="s">
        <v>140</v>
      </c>
    </row>
    <row r="2" spans="1:8" ht="30" x14ac:dyDescent="0.2">
      <c r="A2" s="13" t="s">
        <v>141</v>
      </c>
      <c r="B2" s="14" t="s">
        <v>142</v>
      </c>
      <c r="C2" s="13">
        <v>1884</v>
      </c>
      <c r="D2" s="2"/>
      <c r="E2" s="2">
        <v>1</v>
      </c>
      <c r="F2" s="15" t="s">
        <v>143</v>
      </c>
      <c r="G2" s="16" t="s">
        <v>143</v>
      </c>
      <c r="H2" s="2" t="b">
        <v>1</v>
      </c>
    </row>
    <row r="3" spans="1:8" ht="45" x14ac:dyDescent="0.2">
      <c r="A3" s="13" t="s">
        <v>144</v>
      </c>
      <c r="B3" s="14" t="s">
        <v>143</v>
      </c>
      <c r="C3" s="13">
        <v>635</v>
      </c>
      <c r="D3" s="2"/>
      <c r="E3" s="2">
        <v>3</v>
      </c>
      <c r="F3" s="16" t="s">
        <v>145</v>
      </c>
      <c r="G3" s="2"/>
      <c r="H3" s="2" t="b">
        <v>1</v>
      </c>
    </row>
    <row r="4" spans="1:8" ht="60" x14ac:dyDescent="0.2">
      <c r="A4" s="13" t="s">
        <v>146</v>
      </c>
      <c r="B4" s="14" t="s">
        <v>127</v>
      </c>
      <c r="C4" s="13">
        <v>331</v>
      </c>
      <c r="D4" s="2"/>
      <c r="E4" s="2">
        <v>4</v>
      </c>
      <c r="F4" s="16" t="s">
        <v>147</v>
      </c>
      <c r="G4" s="2"/>
      <c r="H4" s="2" t="b">
        <v>1</v>
      </c>
    </row>
    <row r="5" spans="1:8" ht="15" x14ac:dyDescent="0.2">
      <c r="A5" s="17" t="s">
        <v>148</v>
      </c>
      <c r="B5" s="17" t="s">
        <v>149</v>
      </c>
      <c r="C5" s="17">
        <v>212</v>
      </c>
      <c r="D5" s="1"/>
      <c r="E5" s="1">
        <v>5</v>
      </c>
      <c r="F5" s="18" t="s">
        <v>127</v>
      </c>
      <c r="G5" s="1"/>
      <c r="H5" s="1" t="b">
        <v>1</v>
      </c>
    </row>
    <row r="6" spans="1:8" ht="30" x14ac:dyDescent="0.2">
      <c r="A6" s="13" t="s">
        <v>150</v>
      </c>
      <c r="B6" s="13" t="s">
        <v>151</v>
      </c>
      <c r="C6" s="13">
        <v>1</v>
      </c>
      <c r="D6" s="2"/>
      <c r="E6" s="2"/>
      <c r="F6" s="2"/>
      <c r="G6" s="2"/>
      <c r="H6" s="2"/>
    </row>
    <row r="7" spans="1:8" ht="60" x14ac:dyDescent="0.2">
      <c r="A7" s="13" t="s">
        <v>152</v>
      </c>
      <c r="B7" s="13" t="s">
        <v>153</v>
      </c>
      <c r="C7" s="13">
        <v>50</v>
      </c>
      <c r="D7" s="2"/>
      <c r="E7" s="2">
        <v>8</v>
      </c>
      <c r="F7" s="16" t="s">
        <v>154</v>
      </c>
      <c r="G7" s="2"/>
      <c r="H7" s="2" t="b">
        <v>1</v>
      </c>
    </row>
    <row r="8" spans="1:8" ht="30" x14ac:dyDescent="0.2">
      <c r="A8" s="13" t="s">
        <v>155</v>
      </c>
      <c r="B8" s="13" t="s">
        <v>156</v>
      </c>
      <c r="C8" s="13">
        <v>33</v>
      </c>
      <c r="D8" s="2"/>
      <c r="E8" s="2">
        <v>9</v>
      </c>
      <c r="F8" s="16" t="s">
        <v>157</v>
      </c>
      <c r="G8" s="2"/>
      <c r="H8" s="2" t="b">
        <v>1</v>
      </c>
    </row>
    <row r="9" spans="1:8" ht="60" x14ac:dyDescent="0.2">
      <c r="A9" s="13" t="s">
        <v>158</v>
      </c>
      <c r="B9" s="13" t="s">
        <v>159</v>
      </c>
      <c r="C9" s="13">
        <v>27</v>
      </c>
      <c r="D9" s="2"/>
      <c r="E9" s="2">
        <v>10</v>
      </c>
      <c r="F9" s="16" t="s">
        <v>154</v>
      </c>
      <c r="G9" s="2"/>
      <c r="H9" s="2" t="b">
        <v>1</v>
      </c>
    </row>
    <row r="10" spans="1:8" ht="60" x14ac:dyDescent="0.2">
      <c r="A10" s="13" t="s">
        <v>160</v>
      </c>
      <c r="B10" s="13" t="s">
        <v>161</v>
      </c>
      <c r="C10" s="13">
        <v>4</v>
      </c>
      <c r="D10" s="2"/>
      <c r="E10" s="2"/>
      <c r="F10" s="2"/>
      <c r="G10" s="2"/>
      <c r="H10" s="2"/>
    </row>
    <row r="11" spans="1:8" ht="45" x14ac:dyDescent="0.2">
      <c r="A11" s="13" t="s">
        <v>162</v>
      </c>
      <c r="B11" s="13" t="s">
        <v>163</v>
      </c>
      <c r="C11" s="13">
        <v>3</v>
      </c>
      <c r="D11" s="2"/>
      <c r="E11" s="2"/>
      <c r="F11" s="2"/>
      <c r="G11" s="2"/>
      <c r="H11" s="2"/>
    </row>
    <row r="12" spans="1:8" ht="60" x14ac:dyDescent="0.2">
      <c r="A12" s="13" t="s">
        <v>164</v>
      </c>
      <c r="B12" s="13" t="s">
        <v>165</v>
      </c>
      <c r="C12" s="13">
        <v>2</v>
      </c>
      <c r="D12" s="2"/>
      <c r="E12" s="2"/>
      <c r="F12" s="2"/>
      <c r="G12" s="2"/>
      <c r="H12" s="2"/>
    </row>
    <row r="13" spans="1:8" ht="45" x14ac:dyDescent="0.2">
      <c r="A13" s="13" t="s">
        <v>166</v>
      </c>
      <c r="B13" s="13" t="s">
        <v>167</v>
      </c>
      <c r="C13" s="13">
        <v>2</v>
      </c>
      <c r="D13" s="2"/>
      <c r="E13" s="2"/>
      <c r="F13" s="2"/>
      <c r="G13" s="2"/>
      <c r="H13" s="2"/>
    </row>
    <row r="14" spans="1:8" ht="30" x14ac:dyDescent="0.2">
      <c r="A14" s="13" t="s">
        <v>168</v>
      </c>
      <c r="B14" s="13" t="s">
        <v>169</v>
      </c>
      <c r="C14" s="13">
        <v>1</v>
      </c>
      <c r="D14" s="2"/>
      <c r="E14" s="2"/>
      <c r="F14" s="2"/>
      <c r="G14" s="2"/>
      <c r="H14" s="2"/>
    </row>
    <row r="15" spans="1:8" ht="15" x14ac:dyDescent="0.2">
      <c r="A15" s="13"/>
      <c r="B15" s="13"/>
      <c r="C15" s="13"/>
      <c r="D15" s="2"/>
      <c r="E15" s="2"/>
      <c r="F15" s="2"/>
      <c r="G15" s="2"/>
      <c r="H15" s="2"/>
    </row>
    <row r="16" spans="1:8" ht="60" x14ac:dyDescent="0.2">
      <c r="A16" s="13" t="s">
        <v>170</v>
      </c>
      <c r="B16" s="13" t="s">
        <v>171</v>
      </c>
      <c r="C16" s="13">
        <v>1</v>
      </c>
      <c r="D16" s="2"/>
      <c r="E16" s="2"/>
      <c r="F16" s="2"/>
      <c r="G16" s="2"/>
      <c r="H16" s="2"/>
    </row>
    <row r="17" spans="1:8" x14ac:dyDescent="0.2">
      <c r="A17" s="2"/>
      <c r="B17" s="2"/>
      <c r="C17" s="2"/>
      <c r="D17" s="2"/>
      <c r="E17" s="2"/>
      <c r="F17" s="2"/>
      <c r="G17" s="2"/>
      <c r="H17" s="2"/>
    </row>
    <row r="18" spans="1:8" ht="60" x14ac:dyDescent="0.2">
      <c r="A18" s="13" t="s">
        <v>172</v>
      </c>
      <c r="B18" s="13" t="s">
        <v>173</v>
      </c>
      <c r="C18" s="13">
        <v>88</v>
      </c>
      <c r="D18" s="2"/>
      <c r="E18" s="2">
        <v>7</v>
      </c>
      <c r="F18" s="16" t="s">
        <v>174</v>
      </c>
      <c r="G18" s="2"/>
      <c r="H18" s="2"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7E967-7915-4665-81D3-EF6514AB83CE}">
  <sheetPr>
    <tabColor rgb="FF00B0F0"/>
  </sheetPr>
  <dimension ref="A1:V121"/>
  <sheetViews>
    <sheetView tabSelected="1" zoomScale="70" zoomScaleNormal="70" workbookViewId="0">
      <pane xSplit="2" ySplit="1" topLeftCell="C89" activePane="bottomRight" state="frozen"/>
      <selection pane="topRight" activeCell="C1" sqref="C1"/>
      <selection pane="bottomLeft" activeCell="A2" sqref="A2"/>
      <selection pane="bottomRight" activeCell="M110" sqref="M110"/>
    </sheetView>
  </sheetViews>
  <sheetFormatPr defaultColWidth="9" defaultRowHeight="15" customHeight="1" x14ac:dyDescent="0.25"/>
  <cols>
    <col min="1" max="1" width="52.75" style="51" customWidth="1"/>
    <col min="2" max="2" width="52.875" style="51" customWidth="1"/>
    <col min="3" max="3" width="17.5" style="51" customWidth="1"/>
    <col min="4" max="4" width="94.125" style="51" customWidth="1"/>
    <col min="5" max="5" width="46.75" style="51" customWidth="1"/>
    <col min="6" max="6" width="9" style="52" hidden="1" customWidth="1"/>
    <col min="7" max="10" width="46.75" style="51" customWidth="1"/>
    <col min="11" max="11" width="21.5" style="51" customWidth="1"/>
    <col min="12" max="12" width="26.75" style="51" customWidth="1"/>
    <col min="13" max="13" width="58.5" style="51" customWidth="1"/>
    <col min="14" max="14" width="204" style="51" bestFit="1" customWidth="1"/>
    <col min="15" max="15" width="46.75" style="51" customWidth="1"/>
    <col min="16" max="16" width="48.25" style="51" hidden="1" customWidth="1"/>
    <col min="17" max="17" width="64.875" style="51" customWidth="1"/>
    <col min="18" max="18" width="26" style="51" customWidth="1"/>
    <col min="19" max="19" width="40.625" style="51" customWidth="1"/>
    <col min="20" max="16384" width="9" style="51"/>
  </cols>
  <sheetData>
    <row r="1" spans="1:22" s="50" customFormat="1" ht="29.1" customHeight="1" x14ac:dyDescent="0.25">
      <c r="A1" s="54" t="s">
        <v>175</v>
      </c>
      <c r="B1" s="54" t="s">
        <v>176</v>
      </c>
      <c r="C1" s="55" t="s">
        <v>177</v>
      </c>
      <c r="D1" s="55" t="s">
        <v>178</v>
      </c>
      <c r="E1" s="55" t="s">
        <v>179</v>
      </c>
      <c r="F1" s="53" t="s">
        <v>180</v>
      </c>
      <c r="G1" s="49" t="s">
        <v>181</v>
      </c>
      <c r="H1" s="49" t="s">
        <v>182</v>
      </c>
      <c r="I1" s="49" t="s">
        <v>183</v>
      </c>
      <c r="J1" s="49" t="s">
        <v>184</v>
      </c>
      <c r="K1" s="49" t="s">
        <v>185</v>
      </c>
      <c r="L1" s="49" t="s">
        <v>186</v>
      </c>
      <c r="M1" s="49" t="s">
        <v>187</v>
      </c>
      <c r="N1" s="49" t="s">
        <v>188</v>
      </c>
      <c r="O1" s="49" t="s">
        <v>189</v>
      </c>
      <c r="P1" s="56" t="s">
        <v>190</v>
      </c>
      <c r="Q1" s="57" t="s">
        <v>191</v>
      </c>
      <c r="R1" s="57" t="s">
        <v>192</v>
      </c>
      <c r="S1" s="54" t="s">
        <v>193</v>
      </c>
      <c r="T1" s="60"/>
      <c r="U1" s="59"/>
      <c r="V1" s="59"/>
    </row>
    <row r="2" spans="1:22" x14ac:dyDescent="0.25">
      <c r="A2" t="s">
        <v>194</v>
      </c>
      <c r="B2" t="s">
        <v>195</v>
      </c>
      <c r="C2" t="s">
        <v>196</v>
      </c>
      <c r="D2" t="s">
        <v>194</v>
      </c>
      <c r="E2" t="b">
        <v>1</v>
      </c>
      <c r="F2" t="s">
        <v>197</v>
      </c>
      <c r="G2" t="s">
        <v>859</v>
      </c>
      <c r="H2" t="s">
        <v>207</v>
      </c>
      <c r="I2" t="s">
        <v>198</v>
      </c>
      <c r="J2" t="s">
        <v>106</v>
      </c>
      <c r="K2"/>
      <c r="L2"/>
      <c r="M2"/>
      <c r="N2" t="s">
        <v>199</v>
      </c>
      <c r="O2"/>
      <c r="P2" t="s">
        <v>130</v>
      </c>
      <c r="Q2" t="b">
        <v>0</v>
      </c>
      <c r="R2" t="b">
        <v>0</v>
      </c>
      <c r="S2" t="b">
        <v>0</v>
      </c>
      <c r="T2" s="58"/>
      <c r="U2" s="58"/>
      <c r="V2" s="58"/>
    </row>
    <row r="3" spans="1:22" x14ac:dyDescent="0.25">
      <c r="A3" t="s">
        <v>200</v>
      </c>
      <c r="B3" t="s">
        <v>203</v>
      </c>
      <c r="C3" t="s">
        <v>201</v>
      </c>
      <c r="D3" t="s">
        <v>202</v>
      </c>
      <c r="E3" t="b">
        <v>0</v>
      </c>
      <c r="F3" t="s">
        <v>197</v>
      </c>
      <c r="G3" t="s">
        <v>859</v>
      </c>
      <c r="H3" t="s">
        <v>207</v>
      </c>
      <c r="I3" t="s">
        <v>198</v>
      </c>
      <c r="J3" t="s">
        <v>203</v>
      </c>
      <c r="K3"/>
      <c r="L3"/>
      <c r="M3"/>
      <c r="N3" t="s">
        <v>204</v>
      </c>
      <c r="O3"/>
      <c r="P3" t="s">
        <v>130</v>
      </c>
      <c r="Q3" t="b">
        <v>0</v>
      </c>
      <c r="R3" t="b">
        <v>0</v>
      </c>
      <c r="S3" t="b">
        <v>0</v>
      </c>
      <c r="T3" s="58"/>
      <c r="U3" s="58"/>
      <c r="V3" s="58"/>
    </row>
    <row r="4" spans="1:22" x14ac:dyDescent="0.25">
      <c r="A4" t="s">
        <v>205</v>
      </c>
      <c r="B4" t="s">
        <v>206</v>
      </c>
      <c r="C4" t="s">
        <v>201</v>
      </c>
      <c r="D4" t="s">
        <v>205</v>
      </c>
      <c r="E4" t="b">
        <v>0</v>
      </c>
      <c r="F4" t="s">
        <v>197</v>
      </c>
      <c r="G4" t="s">
        <v>859</v>
      </c>
      <c r="H4" t="s">
        <v>207</v>
      </c>
      <c r="I4" t="s">
        <v>208</v>
      </c>
      <c r="J4" t="s">
        <v>209</v>
      </c>
      <c r="K4"/>
      <c r="L4"/>
      <c r="M4" t="s">
        <v>210</v>
      </c>
      <c r="N4" t="s">
        <v>211</v>
      </c>
      <c r="O4"/>
      <c r="P4" t="s">
        <v>130</v>
      </c>
      <c r="Q4" t="b">
        <v>1</v>
      </c>
      <c r="R4" t="b">
        <v>1</v>
      </c>
      <c r="S4" t="b">
        <v>1</v>
      </c>
      <c r="T4" s="58"/>
      <c r="U4" s="58"/>
      <c r="V4" s="58"/>
    </row>
    <row r="5" spans="1:22" x14ac:dyDescent="0.25">
      <c r="A5" t="s">
        <v>212</v>
      </c>
      <c r="B5" t="s">
        <v>213</v>
      </c>
      <c r="C5" t="s">
        <v>201</v>
      </c>
      <c r="D5" t="s">
        <v>212</v>
      </c>
      <c r="E5" t="b">
        <v>0</v>
      </c>
      <c r="F5" t="s">
        <v>197</v>
      </c>
      <c r="G5" t="s">
        <v>859</v>
      </c>
      <c r="H5" t="s">
        <v>207</v>
      </c>
      <c r="I5" t="s">
        <v>208</v>
      </c>
      <c r="J5" t="s">
        <v>214</v>
      </c>
      <c r="K5"/>
      <c r="L5"/>
      <c r="M5" t="s">
        <v>215</v>
      </c>
      <c r="N5" t="s">
        <v>211</v>
      </c>
      <c r="O5"/>
      <c r="P5" t="s">
        <v>130</v>
      </c>
      <c r="Q5" t="b">
        <v>1</v>
      </c>
      <c r="R5" t="b">
        <v>1</v>
      </c>
      <c r="S5" t="b">
        <v>1</v>
      </c>
      <c r="T5" s="58"/>
      <c r="U5" s="58"/>
      <c r="V5" s="58"/>
    </row>
    <row r="6" spans="1:22" x14ac:dyDescent="0.25">
      <c r="A6" t="s">
        <v>216</v>
      </c>
      <c r="B6" t="s">
        <v>217</v>
      </c>
      <c r="C6" t="s">
        <v>201</v>
      </c>
      <c r="D6" t="s">
        <v>216</v>
      </c>
      <c r="E6" t="b">
        <v>0</v>
      </c>
      <c r="F6" t="s">
        <v>218</v>
      </c>
      <c r="G6" t="s">
        <v>859</v>
      </c>
      <c r="H6" t="s">
        <v>207</v>
      </c>
      <c r="I6" t="s">
        <v>208</v>
      </c>
      <c r="J6" t="s">
        <v>219</v>
      </c>
      <c r="K6"/>
      <c r="L6"/>
      <c r="M6" t="s">
        <v>220</v>
      </c>
      <c r="N6" t="s">
        <v>211</v>
      </c>
      <c r="O6"/>
      <c r="P6"/>
      <c r="Q6" t="b">
        <v>1</v>
      </c>
      <c r="R6" t="b">
        <v>1</v>
      </c>
      <c r="S6" t="b">
        <v>1</v>
      </c>
      <c r="T6" s="58"/>
      <c r="U6" s="58"/>
      <c r="V6" s="58"/>
    </row>
    <row r="7" spans="1:22" x14ac:dyDescent="0.25">
      <c r="A7" t="s">
        <v>221</v>
      </c>
      <c r="B7" t="s">
        <v>222</v>
      </c>
      <c r="C7" t="s">
        <v>223</v>
      </c>
      <c r="D7" t="s">
        <v>221</v>
      </c>
      <c r="E7" t="b">
        <v>0</v>
      </c>
      <c r="F7" t="s">
        <v>218</v>
      </c>
      <c r="G7"/>
      <c r="H7"/>
      <c r="I7"/>
      <c r="J7"/>
      <c r="K7"/>
      <c r="L7"/>
      <c r="M7"/>
      <c r="N7" t="s">
        <v>250</v>
      </c>
      <c r="O7" t="s">
        <v>224</v>
      </c>
      <c r="P7"/>
      <c r="Q7" t="b">
        <v>1</v>
      </c>
      <c r="R7" t="b">
        <v>1</v>
      </c>
      <c r="S7" t="b">
        <v>1</v>
      </c>
      <c r="T7" s="58"/>
      <c r="U7" s="58"/>
      <c r="V7" s="58"/>
    </row>
    <row r="8" spans="1:22" x14ac:dyDescent="0.25">
      <c r="A8" t="s">
        <v>225</v>
      </c>
      <c r="B8" t="s">
        <v>226</v>
      </c>
      <c r="C8" t="s">
        <v>227</v>
      </c>
      <c r="D8" t="s">
        <v>228</v>
      </c>
      <c r="E8" t="b">
        <v>0</v>
      </c>
      <c r="F8" t="s">
        <v>218</v>
      </c>
      <c r="G8"/>
      <c r="H8"/>
      <c r="I8"/>
      <c r="J8"/>
      <c r="K8"/>
      <c r="L8"/>
      <c r="M8"/>
      <c r="N8" t="s">
        <v>250</v>
      </c>
      <c r="O8" t="s">
        <v>229</v>
      </c>
      <c r="P8"/>
      <c r="Q8" t="b">
        <v>1</v>
      </c>
      <c r="R8" t="b">
        <v>1</v>
      </c>
      <c r="S8" t="b">
        <v>1</v>
      </c>
      <c r="T8" s="58"/>
      <c r="U8" s="58"/>
      <c r="V8" s="58"/>
    </row>
    <row r="9" spans="1:22" x14ac:dyDescent="0.25">
      <c r="A9" t="s">
        <v>230</v>
      </c>
      <c r="B9" t="s">
        <v>816</v>
      </c>
      <c r="C9" t="s">
        <v>201</v>
      </c>
      <c r="D9" t="s">
        <v>231</v>
      </c>
      <c r="E9" t="b">
        <v>0</v>
      </c>
      <c r="F9" t="s">
        <v>218</v>
      </c>
      <c r="G9" t="s">
        <v>859</v>
      </c>
      <c r="H9" t="s">
        <v>207</v>
      </c>
      <c r="I9" t="s">
        <v>208</v>
      </c>
      <c r="J9" t="s">
        <v>214</v>
      </c>
      <c r="K9"/>
      <c r="L9"/>
      <c r="M9" t="s">
        <v>232</v>
      </c>
      <c r="N9" t="s">
        <v>211</v>
      </c>
      <c r="O9"/>
      <c r="P9" t="s">
        <v>233</v>
      </c>
      <c r="Q9" t="b">
        <v>0</v>
      </c>
      <c r="R9" t="b">
        <v>1</v>
      </c>
      <c r="S9" t="b">
        <v>1</v>
      </c>
      <c r="T9" s="58"/>
      <c r="U9" s="58"/>
      <c r="V9" s="58"/>
    </row>
    <row r="10" spans="1:22" x14ac:dyDescent="0.25">
      <c r="A10" t="s">
        <v>234</v>
      </c>
      <c r="B10" t="s">
        <v>817</v>
      </c>
      <c r="C10" t="s">
        <v>201</v>
      </c>
      <c r="D10" t="s">
        <v>235</v>
      </c>
      <c r="E10" t="b">
        <v>0</v>
      </c>
      <c r="F10" t="s">
        <v>218</v>
      </c>
      <c r="G10" t="s">
        <v>859</v>
      </c>
      <c r="H10" t="s">
        <v>207</v>
      </c>
      <c r="I10" t="s">
        <v>208</v>
      </c>
      <c r="J10" t="s">
        <v>219</v>
      </c>
      <c r="K10"/>
      <c r="L10"/>
      <c r="M10" t="s">
        <v>232</v>
      </c>
      <c r="N10" t="s">
        <v>211</v>
      </c>
      <c r="O10"/>
      <c r="P10" t="s">
        <v>233</v>
      </c>
      <c r="Q10" t="b">
        <v>0</v>
      </c>
      <c r="R10" t="b">
        <v>1</v>
      </c>
      <c r="S10" t="b">
        <v>1</v>
      </c>
      <c r="T10" s="58"/>
      <c r="U10" s="58"/>
      <c r="V10" s="58"/>
    </row>
    <row r="11" spans="1:22" x14ac:dyDescent="0.25">
      <c r="A11" t="s">
        <v>236</v>
      </c>
      <c r="B11" t="s">
        <v>818</v>
      </c>
      <c r="C11" t="s">
        <v>201</v>
      </c>
      <c r="D11" t="s">
        <v>237</v>
      </c>
      <c r="E11" t="b">
        <v>0</v>
      </c>
      <c r="F11" t="s">
        <v>218</v>
      </c>
      <c r="G11" t="s">
        <v>859</v>
      </c>
      <c r="H11" t="s">
        <v>207</v>
      </c>
      <c r="I11" t="s">
        <v>208</v>
      </c>
      <c r="J11" t="s">
        <v>214</v>
      </c>
      <c r="K11"/>
      <c r="L11"/>
      <c r="M11" t="s">
        <v>238</v>
      </c>
      <c r="N11" t="s">
        <v>211</v>
      </c>
      <c r="O11"/>
      <c r="P11" t="s">
        <v>239</v>
      </c>
      <c r="Q11" t="b">
        <v>1</v>
      </c>
      <c r="R11" t="b">
        <v>1</v>
      </c>
      <c r="S11" t="b">
        <v>1</v>
      </c>
      <c r="T11" s="58"/>
      <c r="U11" s="58"/>
      <c r="V11" s="58"/>
    </row>
    <row r="12" spans="1:22" x14ac:dyDescent="0.25">
      <c r="A12" t="s">
        <v>240</v>
      </c>
      <c r="B12" t="s">
        <v>819</v>
      </c>
      <c r="C12" t="s">
        <v>201</v>
      </c>
      <c r="D12" t="s">
        <v>241</v>
      </c>
      <c r="E12" t="b">
        <v>0</v>
      </c>
      <c r="F12" t="s">
        <v>197</v>
      </c>
      <c r="G12" t="s">
        <v>859</v>
      </c>
      <c r="H12" t="s">
        <v>207</v>
      </c>
      <c r="I12" t="s">
        <v>208</v>
      </c>
      <c r="J12" t="s">
        <v>219</v>
      </c>
      <c r="K12"/>
      <c r="L12"/>
      <c r="M12" t="s">
        <v>238</v>
      </c>
      <c r="N12" t="s">
        <v>211</v>
      </c>
      <c r="O12"/>
      <c r="P12" t="s">
        <v>239</v>
      </c>
      <c r="Q12" t="b">
        <v>1</v>
      </c>
      <c r="R12" t="b">
        <v>1</v>
      </c>
      <c r="S12" t="b">
        <v>1</v>
      </c>
      <c r="T12" s="58"/>
      <c r="U12" s="58"/>
      <c r="V12" s="58"/>
    </row>
    <row r="13" spans="1:22" x14ac:dyDescent="0.25">
      <c r="A13" t="s">
        <v>242</v>
      </c>
      <c r="B13" t="s">
        <v>243</v>
      </c>
      <c r="C13" t="s">
        <v>244</v>
      </c>
      <c r="D13" t="s">
        <v>245</v>
      </c>
      <c r="E13" t="b">
        <v>0</v>
      </c>
      <c r="F13" t="s">
        <v>218</v>
      </c>
      <c r="G13"/>
      <c r="H13"/>
      <c r="I13"/>
      <c r="J13"/>
      <c r="K13"/>
      <c r="L13"/>
      <c r="M13"/>
      <c r="N13" t="s">
        <v>246</v>
      </c>
      <c r="O13"/>
      <c r="P13"/>
      <c r="Q13" t="b">
        <v>1</v>
      </c>
      <c r="R13" t="b">
        <v>1</v>
      </c>
      <c r="S13" t="b">
        <v>1</v>
      </c>
      <c r="T13" s="58"/>
      <c r="U13" s="58"/>
      <c r="V13" s="58"/>
    </row>
    <row r="14" spans="1:22" x14ac:dyDescent="0.25">
      <c r="A14" t="s">
        <v>247</v>
      </c>
      <c r="B14" t="s">
        <v>248</v>
      </c>
      <c r="C14" t="s">
        <v>249</v>
      </c>
      <c r="D14" t="s">
        <v>813</v>
      </c>
      <c r="E14" t="b">
        <v>0</v>
      </c>
      <c r="F14" t="s">
        <v>218</v>
      </c>
      <c r="G14"/>
      <c r="H14"/>
      <c r="I14"/>
      <c r="J14"/>
      <c r="K14"/>
      <c r="L14"/>
      <c r="M14"/>
      <c r="N14" t="s">
        <v>250</v>
      </c>
      <c r="O14" t="s">
        <v>251</v>
      </c>
      <c r="P14"/>
      <c r="Q14" t="b">
        <v>1</v>
      </c>
      <c r="R14" t="b">
        <v>1</v>
      </c>
      <c r="S14" t="b">
        <v>1</v>
      </c>
      <c r="T14" s="58"/>
      <c r="U14" s="58"/>
      <c r="V14" s="58"/>
    </row>
    <row r="15" spans="1:22" x14ac:dyDescent="0.25">
      <c r="A15" t="s">
        <v>252</v>
      </c>
      <c r="B15" t="s">
        <v>253</v>
      </c>
      <c r="C15" t="s">
        <v>227</v>
      </c>
      <c r="D15" t="s">
        <v>254</v>
      </c>
      <c r="E15" t="b">
        <v>0</v>
      </c>
      <c r="F15" t="s">
        <v>197</v>
      </c>
      <c r="G15"/>
      <c r="H15"/>
      <c r="I15"/>
      <c r="J15"/>
      <c r="K15"/>
      <c r="L15"/>
      <c r="M15"/>
      <c r="N15" t="s">
        <v>250</v>
      </c>
      <c r="O15" t="s">
        <v>255</v>
      </c>
      <c r="P15"/>
      <c r="Q15" t="b">
        <v>1</v>
      </c>
      <c r="R15" t="b">
        <v>1</v>
      </c>
      <c r="S15" t="b">
        <v>1</v>
      </c>
      <c r="T15" s="58"/>
      <c r="U15" s="58"/>
      <c r="V15" s="58"/>
    </row>
    <row r="16" spans="1:22" x14ac:dyDescent="0.25">
      <c r="A16" t="s">
        <v>256</v>
      </c>
      <c r="B16" t="s">
        <v>257</v>
      </c>
      <c r="C16" t="s">
        <v>258</v>
      </c>
      <c r="D16" t="s">
        <v>259</v>
      </c>
      <c r="E16" t="b">
        <v>0</v>
      </c>
      <c r="F16" t="s">
        <v>218</v>
      </c>
      <c r="G16"/>
      <c r="H16"/>
      <c r="I16"/>
      <c r="J16"/>
      <c r="K16"/>
      <c r="L16"/>
      <c r="M16"/>
      <c r="N16" t="s">
        <v>250</v>
      </c>
      <c r="O16" t="s">
        <v>251</v>
      </c>
      <c r="P16"/>
      <c r="Q16" t="b">
        <v>1</v>
      </c>
      <c r="R16" t="b">
        <v>1</v>
      </c>
      <c r="S16" t="b">
        <v>1</v>
      </c>
      <c r="T16" s="58"/>
      <c r="U16" s="58"/>
      <c r="V16" s="58"/>
    </row>
    <row r="17" spans="1:22" x14ac:dyDescent="0.25">
      <c r="A17" t="s">
        <v>260</v>
      </c>
      <c r="B17" t="s">
        <v>261</v>
      </c>
      <c r="C17" t="s">
        <v>244</v>
      </c>
      <c r="D17" t="s">
        <v>262</v>
      </c>
      <c r="E17"/>
      <c r="F17" t="s">
        <v>218</v>
      </c>
      <c r="G17"/>
      <c r="H17"/>
      <c r="I17"/>
      <c r="J17"/>
      <c r="K17"/>
      <c r="L17"/>
      <c r="M17"/>
      <c r="N17" t="s">
        <v>263</v>
      </c>
      <c r="O17" t="s">
        <v>264</v>
      </c>
      <c r="P17"/>
      <c r="Q17" t="b">
        <v>1</v>
      </c>
      <c r="R17" t="b">
        <v>1</v>
      </c>
      <c r="S17" t="b">
        <v>1</v>
      </c>
      <c r="T17" s="58"/>
      <c r="U17" s="58"/>
      <c r="V17" s="58"/>
    </row>
    <row r="18" spans="1:22" x14ac:dyDescent="0.25">
      <c r="A18" t="s">
        <v>265</v>
      </c>
      <c r="B18" t="s">
        <v>266</v>
      </c>
      <c r="C18" t="s">
        <v>249</v>
      </c>
      <c r="D18" t="s">
        <v>267</v>
      </c>
      <c r="E18" t="b">
        <v>0</v>
      </c>
      <c r="F18" t="s">
        <v>218</v>
      </c>
      <c r="G18"/>
      <c r="H18"/>
      <c r="I18"/>
      <c r="J18"/>
      <c r="K18"/>
      <c r="L18"/>
      <c r="M18"/>
      <c r="N18" t="s">
        <v>250</v>
      </c>
      <c r="O18" t="s">
        <v>224</v>
      </c>
      <c r="P18"/>
      <c r="Q18" t="b">
        <v>1</v>
      </c>
      <c r="R18" t="b">
        <v>1</v>
      </c>
      <c r="S18" t="b">
        <v>1</v>
      </c>
      <c r="T18" s="58"/>
      <c r="U18" s="58"/>
      <c r="V18" s="58"/>
    </row>
    <row r="19" spans="1:22" x14ac:dyDescent="0.25">
      <c r="A19" t="s">
        <v>268</v>
      </c>
      <c r="B19" t="s">
        <v>269</v>
      </c>
      <c r="C19" t="s">
        <v>258</v>
      </c>
      <c r="D19" t="s">
        <v>270</v>
      </c>
      <c r="E19" t="b">
        <v>0</v>
      </c>
      <c r="F19" t="s">
        <v>218</v>
      </c>
      <c r="G19"/>
      <c r="H19"/>
      <c r="I19"/>
      <c r="J19"/>
      <c r="K19"/>
      <c r="L19"/>
      <c r="M19"/>
      <c r="N19" t="s">
        <v>250</v>
      </c>
      <c r="O19" t="s">
        <v>224</v>
      </c>
      <c r="P19"/>
      <c r="Q19" t="b">
        <v>1</v>
      </c>
      <c r="R19" t="b">
        <v>1</v>
      </c>
      <c r="S19" t="b">
        <v>1</v>
      </c>
      <c r="T19" s="58"/>
      <c r="U19" s="58"/>
      <c r="V19" s="58"/>
    </row>
    <row r="20" spans="1:22" x14ac:dyDescent="0.25">
      <c r="A20" t="s">
        <v>271</v>
      </c>
      <c r="B20" t="s">
        <v>272</v>
      </c>
      <c r="C20" t="s">
        <v>273</v>
      </c>
      <c r="D20" t="s">
        <v>274</v>
      </c>
      <c r="E20" t="b">
        <v>0</v>
      </c>
      <c r="F20" t="s">
        <v>218</v>
      </c>
      <c r="G20"/>
      <c r="H20"/>
      <c r="I20"/>
      <c r="J20"/>
      <c r="K20"/>
      <c r="L20"/>
      <c r="M20"/>
      <c r="N20" t="s">
        <v>250</v>
      </c>
      <c r="O20" t="s">
        <v>224</v>
      </c>
      <c r="P20"/>
      <c r="Q20" t="b">
        <v>1</v>
      </c>
      <c r="R20" t="b">
        <v>1</v>
      </c>
      <c r="S20" t="b">
        <v>1</v>
      </c>
      <c r="T20" s="58"/>
      <c r="U20" s="58"/>
      <c r="V20" s="58"/>
    </row>
    <row r="21" spans="1:22" x14ac:dyDescent="0.25">
      <c r="A21" t="s">
        <v>275</v>
      </c>
      <c r="B21" t="s">
        <v>276</v>
      </c>
      <c r="C21" t="s">
        <v>258</v>
      </c>
      <c r="D21" t="s">
        <v>270</v>
      </c>
      <c r="E21" t="b">
        <v>0</v>
      </c>
      <c r="F21" t="s">
        <v>218</v>
      </c>
      <c r="G21"/>
      <c r="H21"/>
      <c r="I21"/>
      <c r="J21"/>
      <c r="K21"/>
      <c r="L21"/>
      <c r="M21"/>
      <c r="N21" t="s">
        <v>250</v>
      </c>
      <c r="O21" t="s">
        <v>224</v>
      </c>
      <c r="P21"/>
      <c r="Q21" t="b">
        <v>1</v>
      </c>
      <c r="R21" t="b">
        <v>1</v>
      </c>
      <c r="S21" t="b">
        <v>1</v>
      </c>
      <c r="T21" s="58"/>
      <c r="U21" s="58"/>
      <c r="V21" s="58"/>
    </row>
    <row r="22" spans="1:22" x14ac:dyDescent="0.25">
      <c r="A22" t="s">
        <v>277</v>
      </c>
      <c r="B22" t="s">
        <v>278</v>
      </c>
      <c r="C22" t="s">
        <v>273</v>
      </c>
      <c r="D22" t="s">
        <v>279</v>
      </c>
      <c r="E22" t="b">
        <v>0</v>
      </c>
      <c r="F22" t="s">
        <v>218</v>
      </c>
      <c r="G22"/>
      <c r="H22"/>
      <c r="I22"/>
      <c r="J22"/>
      <c r="K22"/>
      <c r="L22"/>
      <c r="M22"/>
      <c r="N22" t="s">
        <v>250</v>
      </c>
      <c r="O22" t="s">
        <v>224</v>
      </c>
      <c r="P22"/>
      <c r="Q22" t="b">
        <v>1</v>
      </c>
      <c r="R22" t="b">
        <v>1</v>
      </c>
      <c r="S22" t="b">
        <v>1</v>
      </c>
      <c r="T22" s="58"/>
      <c r="U22" s="58"/>
      <c r="V22" s="58"/>
    </row>
    <row r="23" spans="1:22" x14ac:dyDescent="0.25">
      <c r="A23" t="s">
        <v>280</v>
      </c>
      <c r="B23" t="s">
        <v>281</v>
      </c>
      <c r="C23" t="s">
        <v>258</v>
      </c>
      <c r="D23" t="s">
        <v>270</v>
      </c>
      <c r="E23" t="b">
        <v>0</v>
      </c>
      <c r="F23" t="s">
        <v>197</v>
      </c>
      <c r="G23"/>
      <c r="H23"/>
      <c r="I23"/>
      <c r="J23"/>
      <c r="K23"/>
      <c r="L23"/>
      <c r="M23"/>
      <c r="O23" t="s">
        <v>224</v>
      </c>
      <c r="P23"/>
      <c r="Q23" t="b">
        <v>1</v>
      </c>
      <c r="R23" t="b">
        <v>1</v>
      </c>
      <c r="S23" t="b">
        <v>1</v>
      </c>
      <c r="T23" s="58"/>
      <c r="U23" s="58"/>
      <c r="V23" s="58"/>
    </row>
    <row r="24" spans="1:22" x14ac:dyDescent="0.25">
      <c r="A24" t="s">
        <v>282</v>
      </c>
      <c r="B24" t="s">
        <v>283</v>
      </c>
      <c r="C24" t="s">
        <v>273</v>
      </c>
      <c r="D24" t="s">
        <v>279</v>
      </c>
      <c r="E24" t="b">
        <v>0</v>
      </c>
      <c r="F24" t="s">
        <v>218</v>
      </c>
      <c r="G24"/>
      <c r="H24"/>
      <c r="I24"/>
      <c r="J24"/>
      <c r="K24"/>
      <c r="L24"/>
      <c r="M24"/>
      <c r="N24" t="s">
        <v>250</v>
      </c>
      <c r="O24" t="s">
        <v>224</v>
      </c>
      <c r="P24"/>
      <c r="Q24" t="b">
        <v>1</v>
      </c>
      <c r="R24" t="b">
        <v>1</v>
      </c>
      <c r="S24" t="b">
        <v>1</v>
      </c>
      <c r="T24" s="58"/>
      <c r="U24" s="58"/>
      <c r="V24" s="58"/>
    </row>
    <row r="25" spans="1:22" x14ac:dyDescent="0.25">
      <c r="A25" t="s">
        <v>284</v>
      </c>
      <c r="B25" t="s">
        <v>285</v>
      </c>
      <c r="C25" t="s">
        <v>258</v>
      </c>
      <c r="D25" t="s">
        <v>270</v>
      </c>
      <c r="E25" t="b">
        <v>0</v>
      </c>
      <c r="F25" t="s">
        <v>218</v>
      </c>
      <c r="G25"/>
      <c r="H25"/>
      <c r="I25"/>
      <c r="J25"/>
      <c r="K25"/>
      <c r="L25"/>
      <c r="M25"/>
      <c r="N25" t="s">
        <v>250</v>
      </c>
      <c r="O25" t="s">
        <v>224</v>
      </c>
      <c r="P25"/>
      <c r="Q25" t="b">
        <v>1</v>
      </c>
      <c r="R25" t="b">
        <v>1</v>
      </c>
      <c r="S25" t="b">
        <v>1</v>
      </c>
      <c r="T25" s="58"/>
      <c r="U25" s="58"/>
      <c r="V25" s="58"/>
    </row>
    <row r="26" spans="1:22" x14ac:dyDescent="0.25">
      <c r="A26" t="s">
        <v>286</v>
      </c>
      <c r="B26" t="s">
        <v>287</v>
      </c>
      <c r="C26" t="s">
        <v>273</v>
      </c>
      <c r="D26" t="s">
        <v>279</v>
      </c>
      <c r="E26" t="b">
        <v>0</v>
      </c>
      <c r="F26" t="s">
        <v>218</v>
      </c>
      <c r="G26"/>
      <c r="H26"/>
      <c r="I26"/>
      <c r="J26"/>
      <c r="K26"/>
      <c r="L26"/>
      <c r="M26"/>
      <c r="N26" t="s">
        <v>250</v>
      </c>
      <c r="O26" t="s">
        <v>224</v>
      </c>
      <c r="P26"/>
      <c r="Q26" t="b">
        <v>1</v>
      </c>
      <c r="R26" t="b">
        <v>1</v>
      </c>
      <c r="S26" t="b">
        <v>1</v>
      </c>
      <c r="T26" s="58"/>
      <c r="U26" s="58"/>
      <c r="V26" s="58"/>
    </row>
    <row r="27" spans="1:22" ht="46.5" customHeight="1" x14ac:dyDescent="0.25">
      <c r="A27" t="s">
        <v>288</v>
      </c>
      <c r="B27" t="s">
        <v>289</v>
      </c>
      <c r="C27" t="s">
        <v>258</v>
      </c>
      <c r="D27" t="s">
        <v>270</v>
      </c>
      <c r="E27" t="b">
        <v>0</v>
      </c>
      <c r="F27" t="s">
        <v>814</v>
      </c>
      <c r="G27"/>
      <c r="H27"/>
      <c r="I27"/>
      <c r="J27"/>
      <c r="K27"/>
      <c r="L27"/>
      <c r="M27"/>
      <c r="N27" t="s">
        <v>250</v>
      </c>
      <c r="O27" t="s">
        <v>224</v>
      </c>
      <c r="P27"/>
      <c r="Q27" t="b">
        <v>1</v>
      </c>
      <c r="R27" t="b">
        <v>1</v>
      </c>
      <c r="S27" t="b">
        <v>1</v>
      </c>
      <c r="T27" s="58"/>
      <c r="U27" s="58"/>
      <c r="V27" s="58"/>
    </row>
    <row r="28" spans="1:22" ht="28.5" customHeight="1" x14ac:dyDescent="0.25">
      <c r="A28" t="s">
        <v>290</v>
      </c>
      <c r="B28" t="s">
        <v>291</v>
      </c>
      <c r="C28" t="s">
        <v>273</v>
      </c>
      <c r="D28" t="s">
        <v>279</v>
      </c>
      <c r="E28" t="b">
        <v>0</v>
      </c>
      <c r="F28" t="s">
        <v>292</v>
      </c>
      <c r="G28"/>
      <c r="H28"/>
      <c r="I28"/>
      <c r="J28"/>
      <c r="K28"/>
      <c r="L28"/>
      <c r="M28"/>
      <c r="N28" t="s">
        <v>250</v>
      </c>
      <c r="O28" t="s">
        <v>224</v>
      </c>
      <c r="P28"/>
      <c r="Q28" t="b">
        <v>1</v>
      </c>
      <c r="R28" t="b">
        <v>1</v>
      </c>
      <c r="S28" t="b">
        <v>1</v>
      </c>
      <c r="T28" s="58"/>
      <c r="U28" s="58"/>
      <c r="V28" s="58"/>
    </row>
    <row r="29" spans="1:22" ht="24.6" customHeight="1" x14ac:dyDescent="0.25">
      <c r="A29" t="s">
        <v>293</v>
      </c>
      <c r="B29" t="s">
        <v>294</v>
      </c>
      <c r="C29" t="s">
        <v>258</v>
      </c>
      <c r="D29" t="s">
        <v>270</v>
      </c>
      <c r="E29" t="b">
        <v>0</v>
      </c>
      <c r="F29"/>
      <c r="G29"/>
      <c r="H29"/>
      <c r="I29"/>
      <c r="J29"/>
      <c r="K29"/>
      <c r="L29"/>
      <c r="M29"/>
      <c r="N29" t="s">
        <v>250</v>
      </c>
      <c r="O29" t="s">
        <v>224</v>
      </c>
      <c r="P29"/>
      <c r="Q29" t="b">
        <v>1</v>
      </c>
      <c r="R29" t="b">
        <v>1</v>
      </c>
      <c r="S29" t="b">
        <v>1</v>
      </c>
      <c r="T29" s="58" t="s">
        <v>295</v>
      </c>
      <c r="U29" s="58"/>
      <c r="V29" s="58"/>
    </row>
    <row r="30" spans="1:22" ht="18" customHeight="1" x14ac:dyDescent="0.25">
      <c r="A30" t="s">
        <v>296</v>
      </c>
      <c r="B30" t="s">
        <v>297</v>
      </c>
      <c r="C30" t="s">
        <v>273</v>
      </c>
      <c r="D30" t="s">
        <v>274</v>
      </c>
      <c r="E30" t="b">
        <v>0</v>
      </c>
      <c r="F30"/>
      <c r="G30"/>
      <c r="H30"/>
      <c r="I30"/>
      <c r="J30"/>
      <c r="K30"/>
      <c r="L30"/>
      <c r="M30"/>
      <c r="N30" t="s">
        <v>250</v>
      </c>
      <c r="O30" t="s">
        <v>224</v>
      </c>
      <c r="P30"/>
      <c r="Q30" t="b">
        <v>1</v>
      </c>
      <c r="R30" t="b">
        <v>1</v>
      </c>
      <c r="S30" t="b">
        <v>1</v>
      </c>
      <c r="T30" s="58" t="s">
        <v>295</v>
      </c>
      <c r="U30" s="58"/>
      <c r="V30" s="58"/>
    </row>
    <row r="31" spans="1:22" ht="18" customHeight="1" x14ac:dyDescent="0.25">
      <c r="A31" t="s">
        <v>298</v>
      </c>
      <c r="B31" t="s">
        <v>299</v>
      </c>
      <c r="C31" t="s">
        <v>258</v>
      </c>
      <c r="D31" t="s">
        <v>270</v>
      </c>
      <c r="E31" t="b">
        <v>0</v>
      </c>
      <c r="F31"/>
      <c r="G31"/>
      <c r="H31"/>
      <c r="I31"/>
      <c r="J31"/>
      <c r="K31"/>
      <c r="L31"/>
      <c r="M31"/>
      <c r="N31" t="s">
        <v>250</v>
      </c>
      <c r="O31" t="s">
        <v>224</v>
      </c>
      <c r="P31"/>
      <c r="Q31" t="b">
        <v>1</v>
      </c>
      <c r="R31" t="b">
        <v>1</v>
      </c>
      <c r="S31" t="b">
        <v>1</v>
      </c>
      <c r="T31" s="58" t="s">
        <v>295</v>
      </c>
      <c r="U31" s="58"/>
      <c r="V31" s="58"/>
    </row>
    <row r="32" spans="1:22" ht="18" customHeight="1" x14ac:dyDescent="0.25">
      <c r="A32" t="s">
        <v>300</v>
      </c>
      <c r="B32" t="s">
        <v>301</v>
      </c>
      <c r="C32" t="s">
        <v>273</v>
      </c>
      <c r="D32" t="s">
        <v>279</v>
      </c>
      <c r="E32" t="b">
        <v>0</v>
      </c>
      <c r="F32"/>
      <c r="G32"/>
      <c r="H32"/>
      <c r="I32"/>
      <c r="J32"/>
      <c r="K32"/>
      <c r="L32"/>
      <c r="M32"/>
      <c r="N32" t="s">
        <v>250</v>
      </c>
      <c r="O32" t="s">
        <v>224</v>
      </c>
      <c r="P32"/>
      <c r="Q32" t="b">
        <v>1</v>
      </c>
      <c r="R32" t="b">
        <v>1</v>
      </c>
      <c r="S32" t="b">
        <v>1</v>
      </c>
      <c r="T32" s="58" t="s">
        <v>295</v>
      </c>
      <c r="U32" s="58"/>
      <c r="V32" s="58"/>
    </row>
    <row r="33" spans="1:22" ht="18" customHeight="1" x14ac:dyDescent="0.25">
      <c r="A33" t="s">
        <v>302</v>
      </c>
      <c r="B33" t="s">
        <v>303</v>
      </c>
      <c r="C33" t="s">
        <v>258</v>
      </c>
      <c r="D33" t="s">
        <v>270</v>
      </c>
      <c r="E33" t="b">
        <v>0</v>
      </c>
      <c r="F33"/>
      <c r="G33"/>
      <c r="H33"/>
      <c r="I33"/>
      <c r="J33"/>
      <c r="K33"/>
      <c r="L33"/>
      <c r="M33"/>
      <c r="N33" t="s">
        <v>250</v>
      </c>
      <c r="O33" t="s">
        <v>224</v>
      </c>
      <c r="P33"/>
      <c r="Q33" t="b">
        <v>1</v>
      </c>
      <c r="R33" t="b">
        <v>1</v>
      </c>
      <c r="S33" t="b">
        <v>1</v>
      </c>
      <c r="T33" s="58" t="s">
        <v>295</v>
      </c>
      <c r="U33" s="58"/>
      <c r="V33" s="58"/>
    </row>
    <row r="34" spans="1:22" ht="18" customHeight="1" x14ac:dyDescent="0.25">
      <c r="A34" t="s">
        <v>304</v>
      </c>
      <c r="B34" t="s">
        <v>305</v>
      </c>
      <c r="C34" t="s">
        <v>273</v>
      </c>
      <c r="D34" t="s">
        <v>279</v>
      </c>
      <c r="E34" t="b">
        <v>0</v>
      </c>
      <c r="F34"/>
      <c r="G34"/>
      <c r="H34"/>
      <c r="I34"/>
      <c r="J34"/>
      <c r="K34"/>
      <c r="L34"/>
      <c r="M34"/>
      <c r="N34" t="s">
        <v>250</v>
      </c>
      <c r="O34" t="s">
        <v>224</v>
      </c>
      <c r="P34"/>
      <c r="Q34" t="b">
        <v>1</v>
      </c>
      <c r="R34" t="b">
        <v>1</v>
      </c>
      <c r="S34" t="b">
        <v>1</v>
      </c>
      <c r="T34" s="58" t="s">
        <v>295</v>
      </c>
      <c r="U34" s="58"/>
      <c r="V34" s="58"/>
    </row>
    <row r="35" spans="1:22" ht="18" customHeight="1" x14ac:dyDescent="0.25">
      <c r="A35" t="s">
        <v>306</v>
      </c>
      <c r="B35" t="s">
        <v>307</v>
      </c>
      <c r="C35" t="s">
        <v>258</v>
      </c>
      <c r="D35" t="s">
        <v>270</v>
      </c>
      <c r="E35" t="b">
        <v>0</v>
      </c>
      <c r="F35"/>
      <c r="G35"/>
      <c r="H35"/>
      <c r="I35"/>
      <c r="J35"/>
      <c r="K35"/>
      <c r="L35"/>
      <c r="M35"/>
      <c r="N35" t="s">
        <v>250</v>
      </c>
      <c r="O35" t="s">
        <v>224</v>
      </c>
      <c r="P35"/>
      <c r="Q35" t="b">
        <v>1</v>
      </c>
      <c r="R35" t="b">
        <v>1</v>
      </c>
      <c r="S35" t="b">
        <v>1</v>
      </c>
      <c r="T35" s="58" t="s">
        <v>295</v>
      </c>
      <c r="U35" s="58"/>
      <c r="V35" s="58"/>
    </row>
    <row r="36" spans="1:22" ht="18" customHeight="1" x14ac:dyDescent="0.25">
      <c r="A36" t="s">
        <v>308</v>
      </c>
      <c r="B36" t="s">
        <v>309</v>
      </c>
      <c r="C36" t="s">
        <v>273</v>
      </c>
      <c r="D36" t="s">
        <v>279</v>
      </c>
      <c r="E36" t="b">
        <v>0</v>
      </c>
      <c r="F36"/>
      <c r="G36"/>
      <c r="H36"/>
      <c r="I36"/>
      <c r="J36"/>
      <c r="K36"/>
      <c r="L36"/>
      <c r="M36"/>
      <c r="N36" t="s">
        <v>250</v>
      </c>
      <c r="O36" t="s">
        <v>224</v>
      </c>
      <c r="P36"/>
      <c r="Q36" t="b">
        <v>1</v>
      </c>
      <c r="R36" t="b">
        <v>1</v>
      </c>
      <c r="S36" t="b">
        <v>1</v>
      </c>
      <c r="T36" s="58" t="s">
        <v>295</v>
      </c>
      <c r="U36" s="58"/>
      <c r="V36" s="58"/>
    </row>
    <row r="37" spans="1:22" ht="18" customHeight="1" x14ac:dyDescent="0.25">
      <c r="A37" t="s">
        <v>310</v>
      </c>
      <c r="B37" t="s">
        <v>311</v>
      </c>
      <c r="C37" t="s">
        <v>258</v>
      </c>
      <c r="D37" t="s">
        <v>270</v>
      </c>
      <c r="E37" t="b">
        <v>0</v>
      </c>
      <c r="F37"/>
      <c r="G37"/>
      <c r="H37"/>
      <c r="I37"/>
      <c r="J37"/>
      <c r="K37"/>
      <c r="L37"/>
      <c r="M37"/>
      <c r="N37" t="s">
        <v>250</v>
      </c>
      <c r="O37" t="s">
        <v>224</v>
      </c>
      <c r="P37"/>
      <c r="Q37" t="b">
        <v>1</v>
      </c>
      <c r="R37" t="b">
        <v>1</v>
      </c>
      <c r="S37" t="b">
        <v>1</v>
      </c>
      <c r="T37" s="58" t="s">
        <v>295</v>
      </c>
      <c r="U37" s="58"/>
      <c r="V37" s="58"/>
    </row>
    <row r="38" spans="1:22" ht="14.1" customHeight="1" x14ac:dyDescent="0.25">
      <c r="A38" t="s">
        <v>312</v>
      </c>
      <c r="B38" t="s">
        <v>313</v>
      </c>
      <c r="C38" t="s">
        <v>273</v>
      </c>
      <c r="D38" t="s">
        <v>279</v>
      </c>
      <c r="E38" t="b">
        <v>0</v>
      </c>
      <c r="F38"/>
      <c r="G38"/>
      <c r="H38"/>
      <c r="I38"/>
      <c r="J38"/>
      <c r="K38"/>
      <c r="L38"/>
      <c r="M38"/>
      <c r="N38" t="s">
        <v>250</v>
      </c>
      <c r="O38" t="s">
        <v>224</v>
      </c>
      <c r="P38"/>
      <c r="Q38" t="b">
        <v>1</v>
      </c>
      <c r="R38" t="b">
        <v>1</v>
      </c>
      <c r="S38" t="b">
        <v>1</v>
      </c>
      <c r="T38" s="58" t="s">
        <v>295</v>
      </c>
      <c r="U38" s="58"/>
      <c r="V38" s="58"/>
    </row>
    <row r="39" spans="1:22" x14ac:dyDescent="0.25">
      <c r="A39" t="s">
        <v>314</v>
      </c>
      <c r="B39" t="s">
        <v>315</v>
      </c>
      <c r="C39" t="s">
        <v>244</v>
      </c>
      <c r="D39" t="s">
        <v>316</v>
      </c>
      <c r="E39" t="b">
        <v>0</v>
      </c>
      <c r="F39" t="s">
        <v>292</v>
      </c>
      <c r="G39"/>
      <c r="H39"/>
      <c r="I39"/>
      <c r="J39"/>
      <c r="K39"/>
      <c r="L39"/>
      <c r="M39"/>
      <c r="N39" t="s">
        <v>250</v>
      </c>
      <c r="O39" t="s">
        <v>224</v>
      </c>
      <c r="P39"/>
      <c r="Q39" t="b">
        <v>1</v>
      </c>
      <c r="R39" t="b">
        <v>1</v>
      </c>
      <c r="S39" t="b">
        <v>1</v>
      </c>
      <c r="T39" s="58"/>
      <c r="U39" s="58"/>
      <c r="V39" s="58"/>
    </row>
    <row r="40" spans="1:22" x14ac:dyDescent="0.25">
      <c r="A40" t="s">
        <v>317</v>
      </c>
      <c r="B40" t="s">
        <v>820</v>
      </c>
      <c r="C40" t="s">
        <v>201</v>
      </c>
      <c r="D40" t="s">
        <v>318</v>
      </c>
      <c r="E40" t="b">
        <v>0</v>
      </c>
      <c r="F40" t="s">
        <v>292</v>
      </c>
      <c r="G40"/>
      <c r="H40"/>
      <c r="I40"/>
      <c r="J40"/>
      <c r="K40"/>
      <c r="L40"/>
      <c r="M40"/>
      <c r="N40" s="70" t="s">
        <v>860</v>
      </c>
      <c r="O40"/>
      <c r="P40"/>
      <c r="Q40" t="b">
        <v>0</v>
      </c>
      <c r="R40" t="b">
        <v>0</v>
      </c>
      <c r="S40" t="b">
        <v>0</v>
      </c>
      <c r="T40" s="58"/>
      <c r="U40" s="58"/>
      <c r="V40" s="58"/>
    </row>
    <row r="41" spans="1:22" x14ac:dyDescent="0.25">
      <c r="A41" t="s">
        <v>319</v>
      </c>
      <c r="B41" t="s">
        <v>320</v>
      </c>
      <c r="C41" t="s">
        <v>258</v>
      </c>
      <c r="D41" t="s">
        <v>321</v>
      </c>
      <c r="E41" t="b">
        <v>0</v>
      </c>
      <c r="F41" t="s">
        <v>218</v>
      </c>
      <c r="G41"/>
      <c r="H41"/>
      <c r="I41"/>
      <c r="J41"/>
      <c r="K41"/>
      <c r="L41"/>
      <c r="M41"/>
      <c r="N41" t="s">
        <v>250</v>
      </c>
      <c r="O41" t="s">
        <v>224</v>
      </c>
      <c r="P41"/>
      <c r="Q41" t="b">
        <v>1</v>
      </c>
      <c r="R41" t="b">
        <v>1</v>
      </c>
      <c r="S41" t="b">
        <v>1</v>
      </c>
      <c r="T41" s="58"/>
      <c r="U41" s="58"/>
      <c r="V41" s="58"/>
    </row>
    <row r="42" spans="1:22" x14ac:dyDescent="0.25">
      <c r="A42" t="s">
        <v>322</v>
      </c>
      <c r="B42" t="s">
        <v>323</v>
      </c>
      <c r="C42" t="s">
        <v>258</v>
      </c>
      <c r="D42" t="s">
        <v>324</v>
      </c>
      <c r="E42" t="b">
        <v>0</v>
      </c>
      <c r="F42" t="s">
        <v>218</v>
      </c>
      <c r="G42"/>
      <c r="H42"/>
      <c r="I42"/>
      <c r="J42"/>
      <c r="K42"/>
      <c r="L42"/>
      <c r="M42"/>
      <c r="N42" t="s">
        <v>250</v>
      </c>
      <c r="O42" t="s">
        <v>224</v>
      </c>
      <c r="P42"/>
      <c r="Q42" t="b">
        <v>1</v>
      </c>
      <c r="R42" t="b">
        <v>1</v>
      </c>
      <c r="S42" t="b">
        <v>1</v>
      </c>
      <c r="T42" s="58"/>
      <c r="U42" s="58"/>
      <c r="V42" s="58"/>
    </row>
    <row r="43" spans="1:22" x14ac:dyDescent="0.25">
      <c r="A43" t="s">
        <v>325</v>
      </c>
      <c r="B43" t="s">
        <v>326</v>
      </c>
      <c r="C43" t="s">
        <v>327</v>
      </c>
      <c r="D43" t="s">
        <v>328</v>
      </c>
      <c r="E43" t="b">
        <v>0</v>
      </c>
      <c r="F43" t="s">
        <v>292</v>
      </c>
      <c r="G43"/>
      <c r="H43"/>
      <c r="I43"/>
      <c r="J43"/>
      <c r="K43"/>
      <c r="L43"/>
      <c r="M43" t="s">
        <v>329</v>
      </c>
      <c r="N43"/>
      <c r="O43"/>
      <c r="P43"/>
      <c r="Q43" t="b">
        <v>0</v>
      </c>
      <c r="R43" t="b">
        <v>0</v>
      </c>
      <c r="S43" t="b">
        <v>0</v>
      </c>
      <c r="T43" s="58"/>
      <c r="U43" s="58"/>
      <c r="V43" s="58"/>
    </row>
    <row r="44" spans="1:22" ht="309.75" customHeight="1" x14ac:dyDescent="0.25">
      <c r="A44" t="s">
        <v>330</v>
      </c>
      <c r="B44" t="s">
        <v>331</v>
      </c>
      <c r="C44" t="s">
        <v>327</v>
      </c>
      <c r="D44" t="s">
        <v>332</v>
      </c>
      <c r="E44" t="b">
        <v>0</v>
      </c>
      <c r="F44" t="s">
        <v>292</v>
      </c>
      <c r="G44" t="s">
        <v>859</v>
      </c>
      <c r="H44" t="s">
        <v>207</v>
      </c>
      <c r="I44" t="s">
        <v>333</v>
      </c>
      <c r="J44" t="s">
        <v>334</v>
      </c>
      <c r="K44" t="s">
        <v>335</v>
      </c>
      <c r="L44">
        <v>3</v>
      </c>
      <c r="M44" t="s">
        <v>336</v>
      </c>
      <c r="N44"/>
      <c r="O44" t="s">
        <v>337</v>
      </c>
      <c r="P44" t="s">
        <v>130</v>
      </c>
      <c r="Q44" t="s">
        <v>338</v>
      </c>
      <c r="R44" t="s">
        <v>338</v>
      </c>
      <c r="S44" t="s">
        <v>338</v>
      </c>
      <c r="T44" s="58"/>
      <c r="U44" s="58"/>
      <c r="V44" s="58"/>
    </row>
    <row r="45" spans="1:22" s="69" customFormat="1" ht="409.5" customHeight="1" x14ac:dyDescent="0.2">
      <c r="A45" t="s">
        <v>339</v>
      </c>
      <c r="B45" t="s">
        <v>340</v>
      </c>
      <c r="C45" t="s">
        <v>327</v>
      </c>
      <c r="D45" t="s">
        <v>341</v>
      </c>
      <c r="E45" t="b">
        <v>0</v>
      </c>
      <c r="F45" t="s">
        <v>292</v>
      </c>
      <c r="G45" t="s">
        <v>859</v>
      </c>
      <c r="H45" t="s">
        <v>207</v>
      </c>
      <c r="I45" t="s">
        <v>333</v>
      </c>
      <c r="J45" t="s">
        <v>334</v>
      </c>
      <c r="K45" t="s">
        <v>335</v>
      </c>
      <c r="L45">
        <v>3</v>
      </c>
      <c r="M45" t="s">
        <v>342</v>
      </c>
      <c r="N45"/>
      <c r="O45" t="s">
        <v>337</v>
      </c>
      <c r="P45" t="s">
        <v>130</v>
      </c>
      <c r="Q45" t="s">
        <v>343</v>
      </c>
      <c r="R45" t="s">
        <v>343</v>
      </c>
      <c r="S45" t="s">
        <v>343</v>
      </c>
      <c r="T45" s="68"/>
      <c r="U45" s="68"/>
      <c r="V45" s="68"/>
    </row>
    <row r="46" spans="1:22" x14ac:dyDescent="0.25">
      <c r="A46" t="s">
        <v>344</v>
      </c>
      <c r="B46" t="s">
        <v>345</v>
      </c>
      <c r="C46" t="s">
        <v>327</v>
      </c>
      <c r="D46" t="s">
        <v>346</v>
      </c>
      <c r="E46" t="b">
        <v>0</v>
      </c>
      <c r="F46" t="s">
        <v>292</v>
      </c>
      <c r="G46"/>
      <c r="H46"/>
      <c r="I46"/>
      <c r="J46"/>
      <c r="K46"/>
      <c r="L46"/>
      <c r="M46"/>
      <c r="N46" t="s">
        <v>250</v>
      </c>
      <c r="O46" t="s">
        <v>224</v>
      </c>
      <c r="P46"/>
      <c r="Q46" t="s">
        <v>347</v>
      </c>
      <c r="R46" t="s">
        <v>347</v>
      </c>
      <c r="S46" t="s">
        <v>347</v>
      </c>
      <c r="T46" s="58"/>
      <c r="U46" s="58"/>
      <c r="V46" s="58"/>
    </row>
    <row r="47" spans="1:22" x14ac:dyDescent="0.25">
      <c r="A47" t="s">
        <v>348</v>
      </c>
      <c r="B47" t="s">
        <v>821</v>
      </c>
      <c r="C47" t="s">
        <v>201</v>
      </c>
      <c r="D47" t="s">
        <v>349</v>
      </c>
      <c r="E47" t="b">
        <v>0</v>
      </c>
      <c r="F47" t="s">
        <v>292</v>
      </c>
      <c r="G47"/>
      <c r="H47"/>
      <c r="I47"/>
      <c r="J47"/>
      <c r="K47"/>
      <c r="L47"/>
      <c r="M47"/>
      <c r="N47" t="s">
        <v>250</v>
      </c>
      <c r="O47" t="s">
        <v>224</v>
      </c>
      <c r="P47"/>
      <c r="Q47" t="b">
        <v>1</v>
      </c>
      <c r="R47" t="b">
        <v>1</v>
      </c>
      <c r="S47" t="b">
        <v>1</v>
      </c>
      <c r="T47" s="58"/>
      <c r="U47" s="58"/>
      <c r="V47" s="58"/>
    </row>
    <row r="48" spans="1:22" x14ac:dyDescent="0.25">
      <c r="A48" t="s">
        <v>350</v>
      </c>
      <c r="B48" t="s">
        <v>822</v>
      </c>
      <c r="C48" t="s">
        <v>227</v>
      </c>
      <c r="D48" t="s">
        <v>351</v>
      </c>
      <c r="E48" t="b">
        <v>0</v>
      </c>
      <c r="F48" t="s">
        <v>292</v>
      </c>
      <c r="G48"/>
      <c r="H48"/>
      <c r="I48"/>
      <c r="J48"/>
      <c r="K48"/>
      <c r="L48"/>
      <c r="M48"/>
      <c r="N48" t="s">
        <v>250</v>
      </c>
      <c r="O48" t="s">
        <v>229</v>
      </c>
      <c r="P48"/>
      <c r="Q48" t="b">
        <v>1</v>
      </c>
      <c r="R48" t="b">
        <v>1</v>
      </c>
      <c r="S48" t="b">
        <v>1</v>
      </c>
      <c r="T48" s="58"/>
      <c r="U48" s="58"/>
      <c r="V48" s="58"/>
    </row>
    <row r="49" spans="1:22" x14ac:dyDescent="0.25">
      <c r="A49" t="s">
        <v>352</v>
      </c>
      <c r="B49" t="s">
        <v>353</v>
      </c>
      <c r="C49" t="s">
        <v>258</v>
      </c>
      <c r="D49" t="s">
        <v>354</v>
      </c>
      <c r="E49" t="b">
        <v>0</v>
      </c>
      <c r="F49" t="s">
        <v>218</v>
      </c>
      <c r="G49"/>
      <c r="H49"/>
      <c r="I49"/>
      <c r="J49"/>
      <c r="K49"/>
      <c r="L49"/>
      <c r="M49"/>
      <c r="N49" t="s">
        <v>250</v>
      </c>
      <c r="O49" t="s">
        <v>224</v>
      </c>
      <c r="P49"/>
      <c r="Q49" t="b">
        <v>1</v>
      </c>
      <c r="R49" t="b">
        <v>1</v>
      </c>
      <c r="S49" t="b">
        <v>1</v>
      </c>
      <c r="T49" s="58"/>
      <c r="U49" s="58"/>
      <c r="V49" s="58"/>
    </row>
    <row r="50" spans="1:22" x14ac:dyDescent="0.25">
      <c r="A50" t="s">
        <v>355</v>
      </c>
      <c r="B50" t="s">
        <v>672</v>
      </c>
      <c r="C50" t="s">
        <v>201</v>
      </c>
      <c r="D50" t="s">
        <v>356</v>
      </c>
      <c r="E50" t="b">
        <v>0</v>
      </c>
      <c r="F50" t="s">
        <v>292</v>
      </c>
      <c r="G50"/>
      <c r="H50"/>
      <c r="I50"/>
      <c r="J50"/>
      <c r="K50"/>
      <c r="L50"/>
      <c r="M50"/>
      <c r="N50" t="s">
        <v>250</v>
      </c>
      <c r="O50" t="s">
        <v>224</v>
      </c>
      <c r="P50"/>
      <c r="Q50" t="b">
        <v>1</v>
      </c>
      <c r="R50" t="b">
        <v>1</v>
      </c>
      <c r="S50" t="b">
        <v>1</v>
      </c>
      <c r="T50" s="58"/>
      <c r="U50" s="58"/>
      <c r="V50" s="58"/>
    </row>
    <row r="51" spans="1:22" x14ac:dyDescent="0.25">
      <c r="A51" t="s">
        <v>357</v>
      </c>
      <c r="B51" t="s">
        <v>823</v>
      </c>
      <c r="C51" t="s">
        <v>201</v>
      </c>
      <c r="D51" t="s">
        <v>358</v>
      </c>
      <c r="E51" t="b">
        <v>0</v>
      </c>
      <c r="F51" t="s">
        <v>359</v>
      </c>
      <c r="G51"/>
      <c r="H51"/>
      <c r="I51"/>
      <c r="J51"/>
      <c r="K51"/>
      <c r="L51"/>
      <c r="M51"/>
      <c r="N51" t="s">
        <v>250</v>
      </c>
      <c r="O51" t="s">
        <v>224</v>
      </c>
      <c r="P51"/>
      <c r="Q51" t="b">
        <v>1</v>
      </c>
      <c r="R51" t="b">
        <v>1</v>
      </c>
      <c r="S51" t="b">
        <v>1</v>
      </c>
      <c r="T51" s="58"/>
      <c r="U51" s="58"/>
      <c r="V51" s="58"/>
    </row>
    <row r="52" spans="1:22" x14ac:dyDescent="0.25">
      <c r="A52" t="s">
        <v>360</v>
      </c>
      <c r="B52" t="s">
        <v>824</v>
      </c>
      <c r="C52" t="s">
        <v>201</v>
      </c>
      <c r="D52" t="s">
        <v>361</v>
      </c>
      <c r="E52" t="b">
        <v>0</v>
      </c>
      <c r="F52" t="s">
        <v>362</v>
      </c>
      <c r="G52"/>
      <c r="H52"/>
      <c r="I52"/>
      <c r="J52"/>
      <c r="K52"/>
      <c r="L52"/>
      <c r="M52"/>
      <c r="N52" t="s">
        <v>250</v>
      </c>
      <c r="O52" t="s">
        <v>224</v>
      </c>
      <c r="P52"/>
      <c r="Q52" t="b">
        <v>1</v>
      </c>
      <c r="R52" t="b">
        <v>1</v>
      </c>
      <c r="S52" t="b">
        <v>1</v>
      </c>
      <c r="T52" s="58"/>
      <c r="U52" s="58"/>
      <c r="V52" s="58"/>
    </row>
    <row r="53" spans="1:22" x14ac:dyDescent="0.25">
      <c r="A53" t="s">
        <v>363</v>
      </c>
      <c r="B53" t="s">
        <v>825</v>
      </c>
      <c r="C53" t="s">
        <v>201</v>
      </c>
      <c r="D53" t="s">
        <v>364</v>
      </c>
      <c r="E53" t="b">
        <v>0</v>
      </c>
      <c r="F53" t="s">
        <v>362</v>
      </c>
      <c r="G53"/>
      <c r="H53"/>
      <c r="I53"/>
      <c r="J53"/>
      <c r="K53"/>
      <c r="L53"/>
      <c r="M53"/>
      <c r="N53" t="s">
        <v>250</v>
      </c>
      <c r="O53" t="s">
        <v>224</v>
      </c>
      <c r="P53"/>
      <c r="Q53" t="b">
        <v>1</v>
      </c>
      <c r="R53" t="b">
        <v>1</v>
      </c>
      <c r="S53" t="b">
        <v>1</v>
      </c>
      <c r="T53" s="58"/>
      <c r="U53" s="58"/>
      <c r="V53" s="58"/>
    </row>
    <row r="54" spans="1:22" x14ac:dyDescent="0.25">
      <c r="A54" t="s">
        <v>365</v>
      </c>
      <c r="B54" t="s">
        <v>826</v>
      </c>
      <c r="C54" t="s">
        <v>201</v>
      </c>
      <c r="D54" t="s">
        <v>366</v>
      </c>
      <c r="E54" t="b">
        <v>0</v>
      </c>
      <c r="F54" t="s">
        <v>362</v>
      </c>
      <c r="G54"/>
      <c r="H54"/>
      <c r="I54"/>
      <c r="J54"/>
      <c r="K54"/>
      <c r="L54"/>
      <c r="M54"/>
      <c r="N54" t="s">
        <v>250</v>
      </c>
      <c r="O54" t="s">
        <v>224</v>
      </c>
      <c r="P54"/>
      <c r="Q54" t="b">
        <v>1</v>
      </c>
      <c r="R54" t="b">
        <v>1</v>
      </c>
      <c r="S54" t="b">
        <v>1</v>
      </c>
      <c r="T54" s="58"/>
      <c r="U54" s="58"/>
      <c r="V54" s="58"/>
    </row>
    <row r="55" spans="1:22" x14ac:dyDescent="0.25">
      <c r="A55" t="s">
        <v>367</v>
      </c>
      <c r="B55" t="s">
        <v>827</v>
      </c>
      <c r="C55" t="s">
        <v>201</v>
      </c>
      <c r="D55" t="s">
        <v>368</v>
      </c>
      <c r="E55" t="b">
        <v>0</v>
      </c>
      <c r="F55" t="s">
        <v>197</v>
      </c>
      <c r="G55"/>
      <c r="H55"/>
      <c r="I55"/>
      <c r="J55"/>
      <c r="K55"/>
      <c r="L55"/>
      <c r="M55"/>
      <c r="N55" t="s">
        <v>250</v>
      </c>
      <c r="O55" t="s">
        <v>224</v>
      </c>
      <c r="P55"/>
      <c r="Q55" t="b">
        <v>1</v>
      </c>
      <c r="R55" t="b">
        <v>1</v>
      </c>
      <c r="S55" t="b">
        <v>1</v>
      </c>
      <c r="T55" s="58"/>
      <c r="U55" s="58"/>
      <c r="V55" s="58"/>
    </row>
    <row r="56" spans="1:22" x14ac:dyDescent="0.25">
      <c r="A56" t="s">
        <v>369</v>
      </c>
      <c r="B56" t="s">
        <v>828</v>
      </c>
      <c r="C56" t="s">
        <v>201</v>
      </c>
      <c r="D56" t="s">
        <v>370</v>
      </c>
      <c r="E56" t="b">
        <v>0</v>
      </c>
      <c r="F56" t="s">
        <v>197</v>
      </c>
      <c r="G56"/>
      <c r="H56"/>
      <c r="I56"/>
      <c r="J56"/>
      <c r="K56"/>
      <c r="L56"/>
      <c r="M56"/>
      <c r="N56" t="s">
        <v>250</v>
      </c>
      <c r="O56" t="s">
        <v>224</v>
      </c>
      <c r="P56"/>
      <c r="Q56" t="b">
        <v>1</v>
      </c>
      <c r="R56" t="b">
        <v>1</v>
      </c>
      <c r="S56" t="b">
        <v>1</v>
      </c>
      <c r="T56" s="58"/>
      <c r="U56" s="58"/>
      <c r="V56" s="58"/>
    </row>
    <row r="57" spans="1:22" x14ac:dyDescent="0.25">
      <c r="A57" t="s">
        <v>371</v>
      </c>
      <c r="B57" t="s">
        <v>829</v>
      </c>
      <c r="C57" t="s">
        <v>201</v>
      </c>
      <c r="D57" t="s">
        <v>372</v>
      </c>
      <c r="E57" t="b">
        <v>0</v>
      </c>
      <c r="F57" t="s">
        <v>373</v>
      </c>
      <c r="G57"/>
      <c r="H57"/>
      <c r="I57"/>
      <c r="J57"/>
      <c r="K57"/>
      <c r="L57"/>
      <c r="M57"/>
      <c r="N57" t="s">
        <v>250</v>
      </c>
      <c r="O57" t="s">
        <v>224</v>
      </c>
      <c r="P57"/>
      <c r="Q57" t="b">
        <v>1</v>
      </c>
      <c r="R57" t="b">
        <v>1</v>
      </c>
      <c r="S57" t="b">
        <v>1</v>
      </c>
      <c r="T57" s="58"/>
      <c r="U57" s="58"/>
      <c r="V57" s="58"/>
    </row>
    <row r="58" spans="1:22" x14ac:dyDescent="0.25">
      <c r="A58" t="s">
        <v>374</v>
      </c>
      <c r="B58" t="s">
        <v>830</v>
      </c>
      <c r="C58" t="s">
        <v>201</v>
      </c>
      <c r="D58" t="s">
        <v>375</v>
      </c>
      <c r="E58" t="b">
        <v>0</v>
      </c>
      <c r="F58" t="s">
        <v>373</v>
      </c>
      <c r="G58"/>
      <c r="H58"/>
      <c r="I58"/>
      <c r="J58"/>
      <c r="K58"/>
      <c r="L58"/>
      <c r="M58"/>
      <c r="N58" t="s">
        <v>250</v>
      </c>
      <c r="O58" t="s">
        <v>224</v>
      </c>
      <c r="P58"/>
      <c r="Q58" t="b">
        <v>1</v>
      </c>
      <c r="R58" t="b">
        <v>1</v>
      </c>
      <c r="S58" t="b">
        <v>1</v>
      </c>
      <c r="T58" s="58"/>
      <c r="U58" s="58"/>
      <c r="V58" s="58"/>
    </row>
    <row r="59" spans="1:22" x14ac:dyDescent="0.25">
      <c r="A59" t="s">
        <v>376</v>
      </c>
      <c r="B59" t="s">
        <v>377</v>
      </c>
      <c r="C59" t="s">
        <v>258</v>
      </c>
      <c r="D59" t="s">
        <v>378</v>
      </c>
      <c r="E59" t="b">
        <v>0</v>
      </c>
      <c r="F59" t="s">
        <v>218</v>
      </c>
      <c r="G59"/>
      <c r="H59"/>
      <c r="I59"/>
      <c r="J59"/>
      <c r="K59"/>
      <c r="L59"/>
      <c r="M59"/>
      <c r="N59" t="s">
        <v>250</v>
      </c>
      <c r="O59" t="s">
        <v>224</v>
      </c>
      <c r="P59"/>
      <c r="Q59" t="b">
        <v>1</v>
      </c>
      <c r="R59" t="b">
        <v>1</v>
      </c>
      <c r="S59" t="b">
        <v>1</v>
      </c>
      <c r="T59" s="58"/>
      <c r="U59" s="58"/>
      <c r="V59" s="58"/>
    </row>
    <row r="60" spans="1:22" x14ac:dyDescent="0.25">
      <c r="A60" t="s">
        <v>379</v>
      </c>
      <c r="B60" t="s">
        <v>380</v>
      </c>
      <c r="C60" t="s">
        <v>258</v>
      </c>
      <c r="D60" t="s">
        <v>381</v>
      </c>
      <c r="E60" t="b">
        <v>0</v>
      </c>
      <c r="F60" t="s">
        <v>218</v>
      </c>
      <c r="G60"/>
      <c r="H60"/>
      <c r="I60"/>
      <c r="J60"/>
      <c r="K60"/>
      <c r="L60"/>
      <c r="M60"/>
      <c r="N60" t="s">
        <v>250</v>
      </c>
      <c r="O60" t="s">
        <v>224</v>
      </c>
      <c r="P60"/>
      <c r="Q60" t="b">
        <v>1</v>
      </c>
      <c r="R60" t="b">
        <v>1</v>
      </c>
      <c r="S60" t="b">
        <v>1</v>
      </c>
      <c r="T60" s="58"/>
      <c r="U60" s="58"/>
      <c r="V60" s="58"/>
    </row>
    <row r="61" spans="1:22" x14ac:dyDescent="0.25">
      <c r="A61" t="s">
        <v>382</v>
      </c>
      <c r="B61" t="s">
        <v>383</v>
      </c>
      <c r="C61" t="s">
        <v>244</v>
      </c>
      <c r="D61" t="s">
        <v>384</v>
      </c>
      <c r="E61"/>
      <c r="F61" t="s">
        <v>373</v>
      </c>
      <c r="G61"/>
      <c r="H61"/>
      <c r="I61"/>
      <c r="J61"/>
      <c r="K61"/>
      <c r="L61"/>
      <c r="M61"/>
      <c r="N61" t="s">
        <v>250</v>
      </c>
      <c r="O61" t="s">
        <v>224</v>
      </c>
      <c r="P61"/>
      <c r="Q61" t="b">
        <v>1</v>
      </c>
      <c r="R61" t="b">
        <v>1</v>
      </c>
      <c r="S61" t="b">
        <v>1</v>
      </c>
      <c r="T61" s="58"/>
      <c r="U61" s="58"/>
      <c r="V61" s="58"/>
    </row>
    <row r="62" spans="1:22" x14ac:dyDescent="0.25">
      <c r="A62" t="s">
        <v>385</v>
      </c>
      <c r="B62" t="s">
        <v>386</v>
      </c>
      <c r="C62" t="s">
        <v>258</v>
      </c>
      <c r="D62" t="s">
        <v>387</v>
      </c>
      <c r="E62"/>
      <c r="F62" t="s">
        <v>373</v>
      </c>
      <c r="G62"/>
      <c r="H62"/>
      <c r="I62"/>
      <c r="J62"/>
      <c r="K62"/>
      <c r="L62"/>
      <c r="M62"/>
      <c r="N62" t="s">
        <v>250</v>
      </c>
      <c r="O62" t="s">
        <v>224</v>
      </c>
      <c r="P62"/>
      <c r="Q62" t="b">
        <v>1</v>
      </c>
      <c r="R62" t="b">
        <v>1</v>
      </c>
      <c r="S62" t="b">
        <v>1</v>
      </c>
      <c r="T62" s="58"/>
      <c r="U62" s="58"/>
      <c r="V62" s="58"/>
    </row>
    <row r="63" spans="1:22" x14ac:dyDescent="0.25">
      <c r="A63" t="s">
        <v>388</v>
      </c>
      <c r="B63" t="s">
        <v>389</v>
      </c>
      <c r="C63" t="s">
        <v>196</v>
      </c>
      <c r="D63" t="s">
        <v>390</v>
      </c>
      <c r="E63" t="b">
        <v>0</v>
      </c>
      <c r="F63" t="s">
        <v>218</v>
      </c>
      <c r="G63"/>
      <c r="H63"/>
      <c r="I63"/>
      <c r="J63"/>
      <c r="K63"/>
      <c r="L63"/>
      <c r="M63"/>
      <c r="N63" t="s">
        <v>250</v>
      </c>
      <c r="O63" t="s">
        <v>224</v>
      </c>
      <c r="P63"/>
      <c r="Q63" t="b">
        <v>1</v>
      </c>
      <c r="R63" t="b">
        <v>1</v>
      </c>
      <c r="S63" t="b">
        <v>1</v>
      </c>
      <c r="T63" s="58"/>
      <c r="U63" s="58"/>
      <c r="V63" s="58"/>
    </row>
    <row r="64" spans="1:22" x14ac:dyDescent="0.25">
      <c r="A64" t="s">
        <v>391</v>
      </c>
      <c r="B64" t="s">
        <v>831</v>
      </c>
      <c r="C64" t="s">
        <v>201</v>
      </c>
      <c r="D64" t="s">
        <v>392</v>
      </c>
      <c r="E64" t="b">
        <v>0</v>
      </c>
      <c r="F64" t="s">
        <v>373</v>
      </c>
      <c r="G64"/>
      <c r="H64"/>
      <c r="I64"/>
      <c r="J64"/>
      <c r="K64"/>
      <c r="L64"/>
      <c r="M64"/>
      <c r="N64" t="s">
        <v>250</v>
      </c>
      <c r="O64" t="s">
        <v>224</v>
      </c>
      <c r="P64"/>
      <c r="Q64" t="b">
        <v>1</v>
      </c>
      <c r="R64" t="b">
        <v>1</v>
      </c>
      <c r="S64" t="b">
        <v>1</v>
      </c>
      <c r="T64" s="58"/>
      <c r="U64" s="58"/>
      <c r="V64" s="58"/>
    </row>
    <row r="65" spans="1:22" x14ac:dyDescent="0.25">
      <c r="A65" t="s">
        <v>393</v>
      </c>
      <c r="B65" t="s">
        <v>832</v>
      </c>
      <c r="C65" t="s">
        <v>201</v>
      </c>
      <c r="D65" t="s">
        <v>394</v>
      </c>
      <c r="E65" t="b">
        <v>0</v>
      </c>
      <c r="F65" t="s">
        <v>373</v>
      </c>
      <c r="G65"/>
      <c r="H65"/>
      <c r="I65"/>
      <c r="J65"/>
      <c r="K65"/>
      <c r="L65"/>
      <c r="M65"/>
      <c r="N65" t="s">
        <v>250</v>
      </c>
      <c r="O65" t="s">
        <v>224</v>
      </c>
      <c r="P65"/>
      <c r="Q65" t="b">
        <v>1</v>
      </c>
      <c r="R65" t="b">
        <v>1</v>
      </c>
      <c r="S65" t="b">
        <v>1</v>
      </c>
      <c r="T65" s="58"/>
      <c r="U65" s="58"/>
      <c r="V65" s="58"/>
    </row>
    <row r="66" spans="1:22" x14ac:dyDescent="0.25">
      <c r="A66" t="s">
        <v>395</v>
      </c>
      <c r="B66" t="s">
        <v>833</v>
      </c>
      <c r="C66" t="s">
        <v>201</v>
      </c>
      <c r="D66" t="s">
        <v>396</v>
      </c>
      <c r="E66" t="b">
        <v>0</v>
      </c>
      <c r="F66" t="s">
        <v>373</v>
      </c>
      <c r="G66"/>
      <c r="H66"/>
      <c r="I66"/>
      <c r="J66"/>
      <c r="K66"/>
      <c r="L66"/>
      <c r="M66"/>
      <c r="N66" t="s">
        <v>250</v>
      </c>
      <c r="O66" t="s">
        <v>224</v>
      </c>
      <c r="P66"/>
      <c r="Q66" t="b">
        <v>1</v>
      </c>
      <c r="R66" t="b">
        <v>1</v>
      </c>
      <c r="S66" t="b">
        <v>1</v>
      </c>
      <c r="T66" s="58"/>
      <c r="U66" s="58"/>
      <c r="V66" s="58"/>
    </row>
    <row r="67" spans="1:22" x14ac:dyDescent="0.25">
      <c r="A67" t="s">
        <v>397</v>
      </c>
      <c r="B67" t="s">
        <v>834</v>
      </c>
      <c r="C67" t="s">
        <v>201</v>
      </c>
      <c r="D67" t="s">
        <v>398</v>
      </c>
      <c r="E67" t="b">
        <v>0</v>
      </c>
      <c r="F67" t="s">
        <v>373</v>
      </c>
      <c r="G67"/>
      <c r="H67"/>
      <c r="I67"/>
      <c r="J67"/>
      <c r="K67"/>
      <c r="L67"/>
      <c r="M67"/>
      <c r="N67" t="s">
        <v>250</v>
      </c>
      <c r="O67" t="s">
        <v>224</v>
      </c>
      <c r="P67"/>
      <c r="Q67" t="b">
        <v>1</v>
      </c>
      <c r="R67" t="b">
        <v>1</v>
      </c>
      <c r="S67" t="b">
        <v>1</v>
      </c>
      <c r="T67" s="58"/>
      <c r="U67" s="58"/>
      <c r="V67" s="58"/>
    </row>
    <row r="68" spans="1:22" x14ac:dyDescent="0.25">
      <c r="A68" t="s">
        <v>399</v>
      </c>
      <c r="B68" t="s">
        <v>835</v>
      </c>
      <c r="C68" t="s">
        <v>201</v>
      </c>
      <c r="D68" t="s">
        <v>400</v>
      </c>
      <c r="E68" t="b">
        <v>0</v>
      </c>
      <c r="F68" t="s">
        <v>373</v>
      </c>
      <c r="G68"/>
      <c r="H68"/>
      <c r="I68"/>
      <c r="J68"/>
      <c r="K68"/>
      <c r="L68"/>
      <c r="M68"/>
      <c r="N68" t="s">
        <v>250</v>
      </c>
      <c r="O68" t="s">
        <v>224</v>
      </c>
      <c r="P68"/>
      <c r="Q68" t="b">
        <v>1</v>
      </c>
      <c r="R68" t="b">
        <v>1</v>
      </c>
      <c r="S68" t="b">
        <v>1</v>
      </c>
      <c r="T68" s="58"/>
      <c r="U68" s="58"/>
      <c r="V68" s="58"/>
    </row>
    <row r="69" spans="1:22" x14ac:dyDescent="0.25">
      <c r="A69" t="s">
        <v>401</v>
      </c>
      <c r="B69" t="s">
        <v>836</v>
      </c>
      <c r="C69" t="s">
        <v>201</v>
      </c>
      <c r="D69" t="s">
        <v>402</v>
      </c>
      <c r="E69" t="b">
        <v>0</v>
      </c>
      <c r="F69" t="s">
        <v>373</v>
      </c>
      <c r="G69"/>
      <c r="H69"/>
      <c r="I69"/>
      <c r="J69"/>
      <c r="K69"/>
      <c r="L69"/>
      <c r="M69"/>
      <c r="N69" t="s">
        <v>250</v>
      </c>
      <c r="O69" t="s">
        <v>224</v>
      </c>
      <c r="P69"/>
      <c r="Q69" t="b">
        <v>1</v>
      </c>
      <c r="R69" t="b">
        <v>1</v>
      </c>
      <c r="S69" t="b">
        <v>1</v>
      </c>
      <c r="T69" s="58"/>
      <c r="U69" s="58"/>
      <c r="V69" s="58"/>
    </row>
    <row r="70" spans="1:22" x14ac:dyDescent="0.25">
      <c r="A70" t="s">
        <v>403</v>
      </c>
      <c r="B70" t="s">
        <v>837</v>
      </c>
      <c r="C70" t="s">
        <v>201</v>
      </c>
      <c r="D70" t="s">
        <v>404</v>
      </c>
      <c r="E70" t="b">
        <v>0</v>
      </c>
      <c r="F70" t="s">
        <v>373</v>
      </c>
      <c r="G70"/>
      <c r="H70"/>
      <c r="I70"/>
      <c r="J70"/>
      <c r="K70"/>
      <c r="L70"/>
      <c r="M70"/>
      <c r="N70" t="s">
        <v>250</v>
      </c>
      <c r="O70" t="s">
        <v>224</v>
      </c>
      <c r="P70"/>
      <c r="Q70" t="b">
        <v>1</v>
      </c>
      <c r="R70" t="b">
        <v>1</v>
      </c>
      <c r="S70" t="b">
        <v>1</v>
      </c>
      <c r="T70" s="58"/>
      <c r="U70" s="58"/>
      <c r="V70" s="58"/>
    </row>
    <row r="71" spans="1:22" x14ac:dyDescent="0.25">
      <c r="A71" t="s">
        <v>405</v>
      </c>
      <c r="B71" t="s">
        <v>838</v>
      </c>
      <c r="C71" t="s">
        <v>201</v>
      </c>
      <c r="D71" t="s">
        <v>406</v>
      </c>
      <c r="E71" t="b">
        <v>0</v>
      </c>
      <c r="F71" t="s">
        <v>373</v>
      </c>
      <c r="G71"/>
      <c r="H71"/>
      <c r="I71"/>
      <c r="J71"/>
      <c r="K71"/>
      <c r="L71"/>
      <c r="M71"/>
      <c r="N71" t="s">
        <v>250</v>
      </c>
      <c r="O71" t="s">
        <v>224</v>
      </c>
      <c r="P71"/>
      <c r="Q71" t="b">
        <v>1</v>
      </c>
      <c r="R71" t="b">
        <v>1</v>
      </c>
      <c r="S71" t="b">
        <v>1</v>
      </c>
      <c r="T71" s="58"/>
      <c r="U71" s="58"/>
      <c r="V71" s="58"/>
    </row>
    <row r="72" spans="1:22" x14ac:dyDescent="0.25">
      <c r="A72" t="s">
        <v>407</v>
      </c>
      <c r="B72" t="s">
        <v>839</v>
      </c>
      <c r="C72" t="s">
        <v>201</v>
      </c>
      <c r="D72" t="s">
        <v>408</v>
      </c>
      <c r="E72" t="b">
        <v>0</v>
      </c>
      <c r="F72" t="s">
        <v>373</v>
      </c>
      <c r="G72"/>
      <c r="H72"/>
      <c r="I72"/>
      <c r="J72"/>
      <c r="K72"/>
      <c r="L72"/>
      <c r="M72"/>
      <c r="N72" t="s">
        <v>250</v>
      </c>
      <c r="O72" t="s">
        <v>224</v>
      </c>
      <c r="P72"/>
      <c r="Q72" t="b">
        <v>1</v>
      </c>
      <c r="R72" t="b">
        <v>1</v>
      </c>
      <c r="S72" t="b">
        <v>1</v>
      </c>
      <c r="T72" s="58"/>
      <c r="U72" s="58"/>
      <c r="V72" s="58"/>
    </row>
    <row r="73" spans="1:22" x14ac:dyDescent="0.25">
      <c r="A73" t="s">
        <v>409</v>
      </c>
      <c r="B73" t="s">
        <v>840</v>
      </c>
      <c r="C73" t="s">
        <v>201</v>
      </c>
      <c r="D73" t="s">
        <v>410</v>
      </c>
      <c r="E73" t="b">
        <v>0</v>
      </c>
      <c r="F73" t="s">
        <v>411</v>
      </c>
      <c r="G73"/>
      <c r="H73"/>
      <c r="I73"/>
      <c r="J73"/>
      <c r="K73"/>
      <c r="L73"/>
      <c r="M73"/>
      <c r="N73" t="s">
        <v>250</v>
      </c>
      <c r="O73" t="s">
        <v>224</v>
      </c>
      <c r="P73"/>
      <c r="Q73" t="b">
        <v>1</v>
      </c>
      <c r="R73" t="b">
        <v>1</v>
      </c>
      <c r="S73" t="b">
        <v>1</v>
      </c>
      <c r="T73" s="58"/>
      <c r="U73" s="58"/>
      <c r="V73" s="58"/>
    </row>
    <row r="74" spans="1:22" x14ac:dyDescent="0.25">
      <c r="A74" t="s">
        <v>412</v>
      </c>
      <c r="B74" t="s">
        <v>841</v>
      </c>
      <c r="C74" t="s">
        <v>201</v>
      </c>
      <c r="D74" t="s">
        <v>413</v>
      </c>
      <c r="E74" t="b">
        <v>0</v>
      </c>
      <c r="F74" t="s">
        <v>218</v>
      </c>
      <c r="G74"/>
      <c r="H74"/>
      <c r="I74"/>
      <c r="J74"/>
      <c r="K74"/>
      <c r="L74"/>
      <c r="M74"/>
      <c r="N74" t="s">
        <v>250</v>
      </c>
      <c r="O74" t="s">
        <v>224</v>
      </c>
      <c r="P74"/>
      <c r="Q74" t="b">
        <v>1</v>
      </c>
      <c r="R74" t="b">
        <v>1</v>
      </c>
      <c r="S74" t="b">
        <v>1</v>
      </c>
      <c r="T74" s="58"/>
      <c r="U74" s="58"/>
      <c r="V74" s="58"/>
    </row>
    <row r="75" spans="1:22" x14ac:dyDescent="0.25">
      <c r="A75" t="s">
        <v>414</v>
      </c>
      <c r="B75" t="s">
        <v>842</v>
      </c>
      <c r="C75" t="s">
        <v>201</v>
      </c>
      <c r="D75" t="s">
        <v>415</v>
      </c>
      <c r="E75" t="b">
        <v>0</v>
      </c>
      <c r="F75" t="s">
        <v>416</v>
      </c>
      <c r="G75"/>
      <c r="H75"/>
      <c r="I75"/>
      <c r="J75"/>
      <c r="K75"/>
      <c r="L75"/>
      <c r="M75"/>
      <c r="N75" t="s">
        <v>250</v>
      </c>
      <c r="O75" t="s">
        <v>224</v>
      </c>
      <c r="P75"/>
      <c r="Q75" t="b">
        <v>1</v>
      </c>
      <c r="R75" t="b">
        <v>1</v>
      </c>
      <c r="S75" t="b">
        <v>1</v>
      </c>
      <c r="T75" s="58"/>
      <c r="U75" s="58"/>
      <c r="V75" s="58"/>
    </row>
    <row r="76" spans="1:22" x14ac:dyDescent="0.25">
      <c r="A76" t="s">
        <v>417</v>
      </c>
      <c r="B76" t="s">
        <v>843</v>
      </c>
      <c r="C76" t="s">
        <v>201</v>
      </c>
      <c r="D76" t="s">
        <v>413</v>
      </c>
      <c r="E76" t="b">
        <v>0</v>
      </c>
      <c r="F76" t="s">
        <v>416</v>
      </c>
      <c r="G76"/>
      <c r="H76"/>
      <c r="I76"/>
      <c r="J76"/>
      <c r="K76"/>
      <c r="L76"/>
      <c r="M76"/>
      <c r="N76" t="s">
        <v>250</v>
      </c>
      <c r="O76" t="s">
        <v>224</v>
      </c>
      <c r="P76"/>
      <c r="Q76" t="b">
        <v>1</v>
      </c>
      <c r="R76" t="b">
        <v>1</v>
      </c>
      <c r="S76" t="b">
        <v>1</v>
      </c>
      <c r="T76" s="58"/>
      <c r="U76" s="58"/>
      <c r="V76" s="58"/>
    </row>
    <row r="77" spans="1:22" x14ac:dyDescent="0.25">
      <c r="A77" t="s">
        <v>418</v>
      </c>
      <c r="B77" t="s">
        <v>844</v>
      </c>
      <c r="C77" t="s">
        <v>201</v>
      </c>
      <c r="D77" t="s">
        <v>413</v>
      </c>
      <c r="E77" t="b">
        <v>0</v>
      </c>
      <c r="F77" t="s">
        <v>416</v>
      </c>
      <c r="G77"/>
      <c r="H77"/>
      <c r="I77"/>
      <c r="J77"/>
      <c r="K77"/>
      <c r="L77"/>
      <c r="M77"/>
      <c r="N77" t="s">
        <v>250</v>
      </c>
      <c r="O77" t="s">
        <v>224</v>
      </c>
      <c r="P77"/>
      <c r="Q77" t="b">
        <v>1</v>
      </c>
      <c r="R77" t="b">
        <v>1</v>
      </c>
      <c r="S77" t="b">
        <v>1</v>
      </c>
      <c r="T77" s="58"/>
      <c r="U77" s="58"/>
      <c r="V77" s="58"/>
    </row>
    <row r="78" spans="1:22" x14ac:dyDescent="0.25">
      <c r="A78" t="s">
        <v>419</v>
      </c>
      <c r="B78" t="s">
        <v>845</v>
      </c>
      <c r="C78" t="s">
        <v>201</v>
      </c>
      <c r="D78" t="s">
        <v>413</v>
      </c>
      <c r="E78" t="b">
        <v>0</v>
      </c>
      <c r="F78" t="s">
        <v>416</v>
      </c>
      <c r="G78"/>
      <c r="H78"/>
      <c r="I78"/>
      <c r="J78"/>
      <c r="K78"/>
      <c r="L78"/>
      <c r="M78"/>
      <c r="N78" t="s">
        <v>250</v>
      </c>
      <c r="O78" t="s">
        <v>224</v>
      </c>
      <c r="P78"/>
      <c r="Q78" t="b">
        <v>1</v>
      </c>
      <c r="R78" t="b">
        <v>1</v>
      </c>
      <c r="S78" t="b">
        <v>1</v>
      </c>
      <c r="T78" s="58"/>
      <c r="U78" s="58"/>
      <c r="V78" s="58"/>
    </row>
    <row r="79" spans="1:22" x14ac:dyDescent="0.25">
      <c r="A79" t="s">
        <v>420</v>
      </c>
      <c r="B79" t="s">
        <v>723</v>
      </c>
      <c r="C79" t="s">
        <v>201</v>
      </c>
      <c r="D79" t="s">
        <v>413</v>
      </c>
      <c r="E79" t="b">
        <v>0</v>
      </c>
      <c r="F79" t="s">
        <v>416</v>
      </c>
      <c r="G79"/>
      <c r="H79"/>
      <c r="I79"/>
      <c r="J79"/>
      <c r="K79"/>
      <c r="L79"/>
      <c r="M79"/>
      <c r="N79" t="s">
        <v>250</v>
      </c>
      <c r="O79" t="s">
        <v>224</v>
      </c>
      <c r="P79"/>
      <c r="Q79" t="b">
        <v>1</v>
      </c>
      <c r="R79" t="b">
        <v>1</v>
      </c>
      <c r="S79" t="b">
        <v>1</v>
      </c>
      <c r="T79" s="58"/>
      <c r="U79" s="58"/>
      <c r="V79" s="58"/>
    </row>
    <row r="80" spans="1:22" x14ac:dyDescent="0.25">
      <c r="A80" t="s">
        <v>421</v>
      </c>
      <c r="B80" t="s">
        <v>725</v>
      </c>
      <c r="C80" t="s">
        <v>201</v>
      </c>
      <c r="D80" t="s">
        <v>413</v>
      </c>
      <c r="E80" t="b">
        <v>0</v>
      </c>
      <c r="F80" t="s">
        <v>416</v>
      </c>
      <c r="G80"/>
      <c r="H80"/>
      <c r="I80"/>
      <c r="J80"/>
      <c r="K80"/>
      <c r="L80"/>
      <c r="M80"/>
      <c r="N80" t="s">
        <v>250</v>
      </c>
      <c r="O80" t="s">
        <v>224</v>
      </c>
      <c r="P80"/>
      <c r="Q80" t="b">
        <v>1</v>
      </c>
      <c r="R80" t="b">
        <v>1</v>
      </c>
      <c r="S80" t="b">
        <v>1</v>
      </c>
      <c r="T80" s="58"/>
      <c r="U80" s="58"/>
      <c r="V80" s="58"/>
    </row>
    <row r="81" spans="1:22" ht="15" customHeight="1" x14ac:dyDescent="0.25">
      <c r="A81" t="s">
        <v>422</v>
      </c>
      <c r="B81" t="s">
        <v>727</v>
      </c>
      <c r="C81" t="s">
        <v>201</v>
      </c>
      <c r="D81" t="s">
        <v>413</v>
      </c>
      <c r="E81" t="b">
        <v>0</v>
      </c>
      <c r="F81" t="s">
        <v>416</v>
      </c>
      <c r="G81"/>
      <c r="H81"/>
      <c r="I81"/>
      <c r="J81"/>
      <c r="K81"/>
      <c r="L81"/>
      <c r="M81"/>
      <c r="N81" t="s">
        <v>250</v>
      </c>
      <c r="O81" t="s">
        <v>224</v>
      </c>
      <c r="P81"/>
      <c r="Q81" t="b">
        <v>1</v>
      </c>
      <c r="R81" t="b">
        <v>1</v>
      </c>
      <c r="S81" t="b">
        <v>1</v>
      </c>
      <c r="T81" s="58"/>
      <c r="U81" s="58"/>
      <c r="V81" s="58"/>
    </row>
    <row r="82" spans="1:22" ht="15" customHeight="1" x14ac:dyDescent="0.25">
      <c r="A82" t="s">
        <v>423</v>
      </c>
      <c r="B82" t="s">
        <v>729</v>
      </c>
      <c r="C82" t="s">
        <v>201</v>
      </c>
      <c r="D82" t="s">
        <v>413</v>
      </c>
      <c r="E82" t="b">
        <v>0</v>
      </c>
      <c r="F82" t="s">
        <v>416</v>
      </c>
      <c r="G82"/>
      <c r="H82"/>
      <c r="I82"/>
      <c r="J82"/>
      <c r="K82"/>
      <c r="L82"/>
      <c r="M82"/>
      <c r="N82" t="s">
        <v>250</v>
      </c>
      <c r="O82" t="s">
        <v>224</v>
      </c>
      <c r="P82"/>
      <c r="Q82" t="b">
        <v>1</v>
      </c>
      <c r="R82" t="b">
        <v>1</v>
      </c>
      <c r="S82" t="b">
        <v>1</v>
      </c>
      <c r="T82" s="58"/>
      <c r="U82" s="58"/>
      <c r="V82" s="58"/>
    </row>
    <row r="83" spans="1:22" ht="15" customHeight="1" x14ac:dyDescent="0.25">
      <c r="A83" t="s">
        <v>424</v>
      </c>
      <c r="B83" t="s">
        <v>731</v>
      </c>
      <c r="C83" t="s">
        <v>201</v>
      </c>
      <c r="D83" t="s">
        <v>413</v>
      </c>
      <c r="E83" t="b">
        <v>0</v>
      </c>
      <c r="F83" t="s">
        <v>416</v>
      </c>
      <c r="G83"/>
      <c r="H83"/>
      <c r="I83"/>
      <c r="J83"/>
      <c r="K83"/>
      <c r="L83"/>
      <c r="M83"/>
      <c r="N83" t="s">
        <v>250</v>
      </c>
      <c r="O83" t="s">
        <v>224</v>
      </c>
      <c r="P83"/>
      <c r="Q83" t="b">
        <v>1</v>
      </c>
      <c r="R83" t="b">
        <v>1</v>
      </c>
      <c r="S83" t="b">
        <v>1</v>
      </c>
      <c r="T83" s="58"/>
      <c r="U83" s="58"/>
      <c r="V83" s="58"/>
    </row>
    <row r="84" spans="1:22" ht="15" customHeight="1" x14ac:dyDescent="0.25">
      <c r="A84" t="s">
        <v>425</v>
      </c>
      <c r="B84" t="s">
        <v>426</v>
      </c>
      <c r="C84" t="s">
        <v>258</v>
      </c>
      <c r="D84" t="s">
        <v>413</v>
      </c>
      <c r="E84" t="b">
        <v>0</v>
      </c>
      <c r="F84" t="s">
        <v>218</v>
      </c>
      <c r="G84"/>
      <c r="H84"/>
      <c r="I84"/>
      <c r="J84"/>
      <c r="K84"/>
      <c r="L84"/>
      <c r="M84"/>
      <c r="N84" t="s">
        <v>250</v>
      </c>
      <c r="O84" t="s">
        <v>224</v>
      </c>
      <c r="P84"/>
      <c r="Q84" t="b">
        <v>1</v>
      </c>
      <c r="R84" t="b">
        <v>1</v>
      </c>
      <c r="S84" t="b">
        <v>1</v>
      </c>
      <c r="T84" s="58"/>
      <c r="U84" s="58"/>
      <c r="V84" s="58"/>
    </row>
    <row r="85" spans="1:22" ht="15" customHeight="1" x14ac:dyDescent="0.25">
      <c r="A85" t="s">
        <v>427</v>
      </c>
      <c r="B85" t="s">
        <v>428</v>
      </c>
      <c r="C85" t="s">
        <v>258</v>
      </c>
      <c r="D85" t="s">
        <v>413</v>
      </c>
      <c r="E85" t="b">
        <v>0</v>
      </c>
      <c r="F85" t="s">
        <v>218</v>
      </c>
      <c r="G85"/>
      <c r="H85"/>
      <c r="I85"/>
      <c r="J85"/>
      <c r="K85"/>
      <c r="L85"/>
      <c r="M85"/>
      <c r="N85" t="s">
        <v>250</v>
      </c>
      <c r="O85" t="s">
        <v>224</v>
      </c>
      <c r="P85"/>
      <c r="Q85" t="b">
        <v>1</v>
      </c>
      <c r="R85" t="b">
        <v>1</v>
      </c>
      <c r="S85" t="b">
        <v>1</v>
      </c>
      <c r="T85" s="58"/>
      <c r="U85" s="58"/>
      <c r="V85" s="58"/>
    </row>
    <row r="86" spans="1:22" ht="15" customHeight="1" x14ac:dyDescent="0.25">
      <c r="A86" t="s">
        <v>429</v>
      </c>
      <c r="B86" t="s">
        <v>430</v>
      </c>
      <c r="C86" t="s">
        <v>258</v>
      </c>
      <c r="D86" t="s">
        <v>413</v>
      </c>
      <c r="E86" t="b">
        <v>0</v>
      </c>
      <c r="F86" t="s">
        <v>218</v>
      </c>
      <c r="G86"/>
      <c r="H86"/>
      <c r="I86"/>
      <c r="J86"/>
      <c r="K86"/>
      <c r="L86"/>
      <c r="M86"/>
      <c r="N86" t="s">
        <v>250</v>
      </c>
      <c r="O86" t="s">
        <v>224</v>
      </c>
      <c r="P86"/>
      <c r="Q86" t="b">
        <v>1</v>
      </c>
      <c r="R86" t="b">
        <v>1</v>
      </c>
      <c r="S86" t="b">
        <v>1</v>
      </c>
      <c r="T86" s="58"/>
      <c r="U86" s="58"/>
      <c r="V86" s="58"/>
    </row>
    <row r="87" spans="1:22" ht="15" customHeight="1" x14ac:dyDescent="0.25">
      <c r="A87" t="s">
        <v>431</v>
      </c>
      <c r="B87" t="s">
        <v>432</v>
      </c>
      <c r="C87" t="s">
        <v>258</v>
      </c>
      <c r="D87" t="s">
        <v>413</v>
      </c>
      <c r="E87" t="b">
        <v>0</v>
      </c>
      <c r="F87" t="s">
        <v>218</v>
      </c>
      <c r="G87"/>
      <c r="H87"/>
      <c r="I87"/>
      <c r="J87"/>
      <c r="K87"/>
      <c r="L87"/>
      <c r="M87"/>
      <c r="N87" t="s">
        <v>250</v>
      </c>
      <c r="O87" t="s">
        <v>224</v>
      </c>
      <c r="P87"/>
      <c r="Q87" t="b">
        <v>1</v>
      </c>
      <c r="R87" t="b">
        <v>1</v>
      </c>
      <c r="S87" t="b">
        <v>1</v>
      </c>
      <c r="T87" s="58"/>
      <c r="U87" s="58"/>
      <c r="V87" s="58"/>
    </row>
    <row r="88" spans="1:22" ht="15" customHeight="1" x14ac:dyDescent="0.25">
      <c r="A88"/>
      <c r="B88" t="s">
        <v>846</v>
      </c>
      <c r="C88" t="s">
        <v>201</v>
      </c>
      <c r="D88" t="s">
        <v>433</v>
      </c>
      <c r="E88" t="b">
        <v>0</v>
      </c>
      <c r="F88" t="s">
        <v>416</v>
      </c>
      <c r="G88"/>
      <c r="H88"/>
      <c r="I88"/>
      <c r="J88"/>
      <c r="K88"/>
      <c r="L88"/>
      <c r="M88"/>
      <c r="N88" t="s">
        <v>250</v>
      </c>
      <c r="O88" t="s">
        <v>434</v>
      </c>
      <c r="P88"/>
      <c r="Q88" t="b">
        <v>1</v>
      </c>
      <c r="R88" t="b">
        <v>1</v>
      </c>
      <c r="S88" t="b">
        <v>1</v>
      </c>
      <c r="T88" s="58"/>
      <c r="U88" s="58"/>
      <c r="V88" s="58"/>
    </row>
    <row r="89" spans="1:22" ht="15" customHeight="1" x14ac:dyDescent="0.25">
      <c r="A89"/>
      <c r="B89" t="s">
        <v>847</v>
      </c>
      <c r="C89" t="s">
        <v>201</v>
      </c>
      <c r="D89" t="s">
        <v>435</v>
      </c>
      <c r="E89" t="b">
        <v>0</v>
      </c>
      <c r="F89" t="s">
        <v>416</v>
      </c>
      <c r="G89"/>
      <c r="H89"/>
      <c r="I89"/>
      <c r="J89"/>
      <c r="K89"/>
      <c r="L89"/>
      <c r="M89"/>
      <c r="N89" t="s">
        <v>250</v>
      </c>
      <c r="O89" t="s">
        <v>434</v>
      </c>
      <c r="P89"/>
      <c r="Q89" t="b">
        <v>1</v>
      </c>
      <c r="R89" t="b">
        <v>1</v>
      </c>
      <c r="S89" t="b">
        <v>1</v>
      </c>
      <c r="T89" s="58"/>
      <c r="U89" s="58"/>
      <c r="V89" s="58"/>
    </row>
    <row r="90" spans="1:22" ht="15" customHeight="1" x14ac:dyDescent="0.25">
      <c r="A90"/>
      <c r="B90" t="s">
        <v>848</v>
      </c>
      <c r="C90" t="s">
        <v>227</v>
      </c>
      <c r="D90" t="s">
        <v>436</v>
      </c>
      <c r="E90" t="b">
        <v>0</v>
      </c>
      <c r="F90" t="s">
        <v>416</v>
      </c>
      <c r="G90"/>
      <c r="H90"/>
      <c r="I90"/>
      <c r="J90"/>
      <c r="K90"/>
      <c r="L90"/>
      <c r="M90"/>
      <c r="N90" t="s">
        <v>250</v>
      </c>
      <c r="O90" t="s">
        <v>437</v>
      </c>
      <c r="P90"/>
      <c r="Q90" t="b">
        <v>1</v>
      </c>
      <c r="R90" t="b">
        <v>1</v>
      </c>
      <c r="S90" t="b">
        <v>1</v>
      </c>
      <c r="T90" s="58"/>
      <c r="U90" s="58"/>
      <c r="V90" s="58"/>
    </row>
    <row r="91" spans="1:22" x14ac:dyDescent="0.25">
      <c r="A91" t="s">
        <v>438</v>
      </c>
      <c r="B91" t="s">
        <v>439</v>
      </c>
      <c r="C91" t="s">
        <v>258</v>
      </c>
      <c r="D91" t="s">
        <v>440</v>
      </c>
      <c r="E91" t="b">
        <v>0</v>
      </c>
      <c r="F91"/>
      <c r="G91"/>
      <c r="H91"/>
      <c r="I91"/>
      <c r="J91"/>
      <c r="K91"/>
      <c r="L91"/>
      <c r="M91"/>
      <c r="N91" t="s">
        <v>250</v>
      </c>
      <c r="O91" t="s">
        <v>224</v>
      </c>
      <c r="P91"/>
      <c r="Q91" t="b">
        <v>1</v>
      </c>
      <c r="R91" t="b">
        <v>1</v>
      </c>
      <c r="S91" t="b">
        <v>1</v>
      </c>
      <c r="T91" s="58"/>
      <c r="U91" s="58"/>
      <c r="V91" s="58"/>
    </row>
    <row r="92" spans="1:22" x14ac:dyDescent="0.25">
      <c r="A92" t="s">
        <v>441</v>
      </c>
      <c r="B92" t="s">
        <v>442</v>
      </c>
      <c r="C92" t="s">
        <v>244</v>
      </c>
      <c r="D92" t="s">
        <v>443</v>
      </c>
      <c r="E92" t="b">
        <v>0</v>
      </c>
      <c r="F92"/>
      <c r="G92"/>
      <c r="H92"/>
      <c r="I92"/>
      <c r="J92"/>
      <c r="K92"/>
      <c r="L92"/>
      <c r="M92"/>
      <c r="N92" t="s">
        <v>250</v>
      </c>
      <c r="O92" t="s">
        <v>224</v>
      </c>
      <c r="P92"/>
      <c r="Q92" t="b">
        <v>1</v>
      </c>
      <c r="R92" t="b">
        <v>1</v>
      </c>
      <c r="S92" t="b">
        <v>1</v>
      </c>
      <c r="T92" s="58"/>
      <c r="U92" s="58"/>
      <c r="V92" s="58"/>
    </row>
    <row r="93" spans="1:22" x14ac:dyDescent="0.25">
      <c r="A93" t="s">
        <v>444</v>
      </c>
      <c r="B93" t="s">
        <v>445</v>
      </c>
      <c r="C93" t="s">
        <v>244</v>
      </c>
      <c r="D93" t="s">
        <v>446</v>
      </c>
      <c r="E93" t="b">
        <v>0</v>
      </c>
      <c r="F93"/>
      <c r="G93"/>
      <c r="H93"/>
      <c r="I93"/>
      <c r="J93"/>
      <c r="K93"/>
      <c r="L93"/>
      <c r="M93"/>
      <c r="N93" t="s">
        <v>250</v>
      </c>
      <c r="O93" t="s">
        <v>224</v>
      </c>
      <c r="P93"/>
      <c r="Q93" t="b">
        <v>1</v>
      </c>
      <c r="R93" t="b">
        <v>1</v>
      </c>
      <c r="S93" t="b">
        <v>1</v>
      </c>
      <c r="T93" s="58"/>
      <c r="U93" s="58"/>
      <c r="V93" s="58"/>
    </row>
    <row r="94" spans="1:22" x14ac:dyDescent="0.25">
      <c r="A94" t="s">
        <v>447</v>
      </c>
      <c r="B94" t="s">
        <v>849</v>
      </c>
      <c r="C94" t="s">
        <v>258</v>
      </c>
      <c r="D94" t="s">
        <v>448</v>
      </c>
      <c r="E94"/>
      <c r="F94"/>
      <c r="G94"/>
      <c r="H94"/>
      <c r="I94"/>
      <c r="J94"/>
      <c r="K94"/>
      <c r="L94"/>
      <c r="M94"/>
      <c r="N94" t="s">
        <v>250</v>
      </c>
      <c r="O94" t="s">
        <v>224</v>
      </c>
      <c r="P94"/>
      <c r="Q94" t="b">
        <v>1</v>
      </c>
      <c r="R94" t="b">
        <v>1</v>
      </c>
      <c r="S94" t="b">
        <v>1</v>
      </c>
      <c r="T94" s="58"/>
      <c r="U94" s="58"/>
      <c r="V94" s="58"/>
    </row>
    <row r="95" spans="1:22" x14ac:dyDescent="0.25">
      <c r="A95" t="s">
        <v>449</v>
      </c>
      <c r="B95" t="s">
        <v>850</v>
      </c>
      <c r="C95" t="s">
        <v>258</v>
      </c>
      <c r="D95" t="s">
        <v>450</v>
      </c>
      <c r="E95"/>
      <c r="F95"/>
      <c r="G95"/>
      <c r="H95"/>
      <c r="I95"/>
      <c r="J95"/>
      <c r="K95"/>
      <c r="L95"/>
      <c r="M95"/>
      <c r="N95" t="s">
        <v>250</v>
      </c>
      <c r="O95" t="s">
        <v>224</v>
      </c>
      <c r="P95"/>
      <c r="Q95" t="b">
        <v>1</v>
      </c>
      <c r="R95" t="b">
        <v>1</v>
      </c>
      <c r="S95" t="b">
        <v>1</v>
      </c>
      <c r="T95" s="58"/>
      <c r="U95" s="58"/>
      <c r="V95" s="58"/>
    </row>
    <row r="96" spans="1:22" x14ac:dyDescent="0.25">
      <c r="A96" t="s">
        <v>451</v>
      </c>
      <c r="B96" t="s">
        <v>452</v>
      </c>
      <c r="C96" t="s">
        <v>258</v>
      </c>
      <c r="D96" t="s">
        <v>453</v>
      </c>
      <c r="E96" t="b">
        <v>0</v>
      </c>
      <c r="F96"/>
      <c r="G96"/>
      <c r="H96"/>
      <c r="I96"/>
      <c r="J96"/>
      <c r="K96"/>
      <c r="L96"/>
      <c r="M96"/>
      <c r="N96" t="s">
        <v>250</v>
      </c>
      <c r="O96" t="s">
        <v>224</v>
      </c>
      <c r="P96"/>
      <c r="Q96" t="b">
        <v>1</v>
      </c>
      <c r="R96" t="b">
        <v>1</v>
      </c>
      <c r="S96" t="b">
        <v>1</v>
      </c>
      <c r="T96" s="58"/>
      <c r="U96" s="58"/>
      <c r="V96" s="58"/>
    </row>
    <row r="97" spans="1:22" x14ac:dyDescent="0.25">
      <c r="A97" t="s">
        <v>454</v>
      </c>
      <c r="B97" t="s">
        <v>455</v>
      </c>
      <c r="C97" t="s">
        <v>258</v>
      </c>
      <c r="D97" t="s">
        <v>456</v>
      </c>
      <c r="E97" t="b">
        <v>0</v>
      </c>
      <c r="F97"/>
      <c r="G97"/>
      <c r="H97"/>
      <c r="I97"/>
      <c r="J97"/>
      <c r="K97"/>
      <c r="L97"/>
      <c r="M97"/>
      <c r="N97" t="s">
        <v>250</v>
      </c>
      <c r="O97" t="s">
        <v>224</v>
      </c>
      <c r="P97"/>
      <c r="Q97" t="b">
        <v>1</v>
      </c>
      <c r="R97" t="b">
        <v>1</v>
      </c>
      <c r="S97" t="b">
        <v>1</v>
      </c>
      <c r="T97" s="58"/>
      <c r="U97" s="58"/>
      <c r="V97" s="58"/>
    </row>
    <row r="98" spans="1:22" x14ac:dyDescent="0.25">
      <c r="A98" t="s">
        <v>457</v>
      </c>
      <c r="B98" t="s">
        <v>458</v>
      </c>
      <c r="C98" t="s">
        <v>258</v>
      </c>
      <c r="D98" t="s">
        <v>459</v>
      </c>
      <c r="E98" t="b">
        <v>0</v>
      </c>
      <c r="F98"/>
      <c r="G98"/>
      <c r="H98"/>
      <c r="I98"/>
      <c r="J98"/>
      <c r="K98"/>
      <c r="L98"/>
      <c r="M98"/>
      <c r="N98" t="s">
        <v>250</v>
      </c>
      <c r="O98" t="s">
        <v>224</v>
      </c>
      <c r="P98"/>
      <c r="Q98" t="b">
        <v>1</v>
      </c>
      <c r="R98" t="b">
        <v>1</v>
      </c>
      <c r="S98" t="b">
        <v>1</v>
      </c>
      <c r="T98" s="58"/>
      <c r="U98" s="58"/>
      <c r="V98" s="58"/>
    </row>
    <row r="99" spans="1:22" x14ac:dyDescent="0.25">
      <c r="A99" t="s">
        <v>460</v>
      </c>
      <c r="B99" t="s">
        <v>248</v>
      </c>
      <c r="C99" t="s">
        <v>244</v>
      </c>
      <c r="D99" t="s">
        <v>461</v>
      </c>
      <c r="E99" t="b">
        <v>0</v>
      </c>
      <c r="F99"/>
      <c r="G99"/>
      <c r="H99"/>
      <c r="I99"/>
      <c r="J99"/>
      <c r="K99"/>
      <c r="L99"/>
      <c r="M99"/>
      <c r="N99" t="s">
        <v>250</v>
      </c>
      <c r="O99"/>
      <c r="P99"/>
      <c r="Q99" t="s">
        <v>462</v>
      </c>
      <c r="R99" t="s">
        <v>462</v>
      </c>
      <c r="S99" t="s">
        <v>462</v>
      </c>
      <c r="T99" s="58"/>
      <c r="U99" s="58"/>
      <c r="V99" s="58"/>
    </row>
    <row r="100" spans="1:22" x14ac:dyDescent="0.25">
      <c r="A100" t="s">
        <v>463</v>
      </c>
      <c r="B100" t="s">
        <v>851</v>
      </c>
      <c r="C100"/>
      <c r="D100"/>
      <c r="E100" t="b">
        <v>0</v>
      </c>
      <c r="F100"/>
      <c r="G100" t="s">
        <v>859</v>
      </c>
      <c r="H100" t="s">
        <v>207</v>
      </c>
      <c r="I100" t="s">
        <v>208</v>
      </c>
      <c r="J100" t="s">
        <v>219</v>
      </c>
      <c r="K100"/>
      <c r="L100"/>
      <c r="M100" t="s">
        <v>210</v>
      </c>
      <c r="N100"/>
      <c r="O100"/>
      <c r="P100"/>
      <c r="Q100" t="b">
        <v>0</v>
      </c>
      <c r="R100" t="b">
        <v>1</v>
      </c>
      <c r="S100" t="b">
        <v>1</v>
      </c>
      <c r="T100" s="58"/>
      <c r="U100" s="58"/>
      <c r="V100" s="58"/>
    </row>
    <row r="101" spans="1:22" x14ac:dyDescent="0.25">
      <c r="A101" t="s">
        <v>464</v>
      </c>
      <c r="B101" t="s">
        <v>852</v>
      </c>
      <c r="C101" t="s">
        <v>244</v>
      </c>
      <c r="D101" t="s">
        <v>465</v>
      </c>
      <c r="E101" t="b">
        <v>0</v>
      </c>
      <c r="F101"/>
      <c r="G101"/>
      <c r="H101"/>
      <c r="I101"/>
      <c r="J101"/>
      <c r="K101"/>
      <c r="L101"/>
      <c r="M101"/>
      <c r="N101" t="s">
        <v>250</v>
      </c>
      <c r="O101" t="s">
        <v>224</v>
      </c>
      <c r="P101"/>
      <c r="Q101" t="b">
        <v>0</v>
      </c>
      <c r="R101" t="b">
        <v>0</v>
      </c>
      <c r="S101" t="b">
        <v>0</v>
      </c>
      <c r="T101" s="58"/>
      <c r="U101" s="58"/>
      <c r="V101" s="58"/>
    </row>
    <row r="102" spans="1:22" x14ac:dyDescent="0.25">
      <c r="A102" t="s">
        <v>466</v>
      </c>
      <c r="B102" t="s">
        <v>853</v>
      </c>
      <c r="C102" t="s">
        <v>244</v>
      </c>
      <c r="D102" t="s">
        <v>467</v>
      </c>
      <c r="E102" t="b">
        <v>0</v>
      </c>
      <c r="F102"/>
      <c r="G102"/>
      <c r="H102"/>
      <c r="I102"/>
      <c r="J102"/>
      <c r="K102"/>
      <c r="L102"/>
      <c r="M102"/>
      <c r="N102" t="s">
        <v>250</v>
      </c>
      <c r="O102" t="s">
        <v>224</v>
      </c>
      <c r="P102"/>
      <c r="Q102" t="b">
        <v>1</v>
      </c>
      <c r="R102" t="b">
        <v>1</v>
      </c>
      <c r="S102" t="b">
        <v>1</v>
      </c>
      <c r="T102" s="58"/>
      <c r="U102" s="58"/>
      <c r="V102" s="58"/>
    </row>
    <row r="103" spans="1:22" x14ac:dyDescent="0.25">
      <c r="A103" t="s">
        <v>468</v>
      </c>
      <c r="B103" t="s">
        <v>854</v>
      </c>
      <c r="C103" t="s">
        <v>258</v>
      </c>
      <c r="D103" t="s">
        <v>469</v>
      </c>
      <c r="E103" t="b">
        <v>0</v>
      </c>
      <c r="F103"/>
      <c r="G103"/>
      <c r="H103"/>
      <c r="I103"/>
      <c r="J103"/>
      <c r="K103"/>
      <c r="L103"/>
      <c r="M103"/>
      <c r="N103" t="s">
        <v>250</v>
      </c>
      <c r="O103" t="s">
        <v>224</v>
      </c>
      <c r="P103"/>
      <c r="Q103" t="s">
        <v>470</v>
      </c>
      <c r="R103" t="b">
        <v>1</v>
      </c>
      <c r="S103" t="b">
        <v>1</v>
      </c>
      <c r="T103" s="58"/>
      <c r="U103" s="58"/>
      <c r="V103" s="58"/>
    </row>
    <row r="104" spans="1:22" x14ac:dyDescent="0.25">
      <c r="A104" t="s">
        <v>471</v>
      </c>
      <c r="B104" t="s">
        <v>855</v>
      </c>
      <c r="C104" t="s">
        <v>258</v>
      </c>
      <c r="D104" t="s">
        <v>472</v>
      </c>
      <c r="E104" t="b">
        <v>0</v>
      </c>
      <c r="F104"/>
      <c r="G104"/>
      <c r="H104"/>
      <c r="I104"/>
      <c r="J104"/>
      <c r="K104"/>
      <c r="L104"/>
      <c r="M104"/>
      <c r="N104" t="s">
        <v>250</v>
      </c>
      <c r="O104" t="s">
        <v>224</v>
      </c>
      <c r="P104"/>
      <c r="Q104" t="s">
        <v>470</v>
      </c>
      <c r="R104" t="b">
        <v>1</v>
      </c>
      <c r="S104" t="b">
        <v>1</v>
      </c>
      <c r="T104" s="58"/>
      <c r="U104" s="58"/>
      <c r="V104" s="58"/>
    </row>
    <row r="105" spans="1:22" x14ac:dyDescent="0.25">
      <c r="A105" t="s">
        <v>473</v>
      </c>
      <c r="B105" t="s">
        <v>856</v>
      </c>
      <c r="C105" t="s">
        <v>258</v>
      </c>
      <c r="D105" t="s">
        <v>474</v>
      </c>
      <c r="E105" t="b">
        <v>0</v>
      </c>
      <c r="F105"/>
      <c r="G105"/>
      <c r="H105"/>
      <c r="I105"/>
      <c r="J105"/>
      <c r="K105"/>
      <c r="L105"/>
      <c r="M105"/>
      <c r="N105" t="s">
        <v>250</v>
      </c>
      <c r="O105" t="s">
        <v>224</v>
      </c>
      <c r="P105"/>
      <c r="Q105" t="b">
        <v>1</v>
      </c>
      <c r="R105" t="b">
        <v>1</v>
      </c>
      <c r="S105" t="b">
        <v>1</v>
      </c>
      <c r="T105" s="58"/>
      <c r="U105" s="58"/>
      <c r="V105" s="58"/>
    </row>
    <row r="106" spans="1:22" x14ac:dyDescent="0.25">
      <c r="A106" t="s">
        <v>367</v>
      </c>
      <c r="B106" t="s">
        <v>827</v>
      </c>
      <c r="C106" t="s">
        <v>244</v>
      </c>
      <c r="D106" t="s">
        <v>475</v>
      </c>
      <c r="E106" t="b">
        <v>0</v>
      </c>
      <c r="F106"/>
      <c r="G106"/>
      <c r="H106"/>
      <c r="I106"/>
      <c r="J106"/>
      <c r="K106"/>
      <c r="L106"/>
      <c r="M106"/>
      <c r="N106" t="s">
        <v>250</v>
      </c>
      <c r="O106" t="s">
        <v>224</v>
      </c>
      <c r="P106"/>
      <c r="Q106" t="b">
        <v>1</v>
      </c>
      <c r="R106" t="b">
        <v>1</v>
      </c>
      <c r="S106" t="b">
        <v>1</v>
      </c>
      <c r="T106" s="58"/>
      <c r="U106" s="58"/>
      <c r="V106" s="58"/>
    </row>
    <row r="107" spans="1:22" x14ac:dyDescent="0.25">
      <c r="A107" t="s">
        <v>476</v>
      </c>
      <c r="B107" t="s">
        <v>857</v>
      </c>
      <c r="C107" t="s">
        <v>258</v>
      </c>
      <c r="D107" t="s">
        <v>477</v>
      </c>
      <c r="E107" t="b">
        <v>0</v>
      </c>
      <c r="F107"/>
      <c r="G107"/>
      <c r="H107"/>
      <c r="I107"/>
      <c r="J107"/>
      <c r="K107"/>
      <c r="L107"/>
      <c r="M107"/>
      <c r="N107" t="s">
        <v>250</v>
      </c>
      <c r="O107" t="s">
        <v>224</v>
      </c>
      <c r="P107"/>
      <c r="Q107" t="b">
        <v>1</v>
      </c>
      <c r="R107" t="b">
        <v>1</v>
      </c>
      <c r="S107" t="b">
        <v>1</v>
      </c>
      <c r="T107" s="58"/>
      <c r="U107" s="58"/>
      <c r="V107" s="58"/>
    </row>
    <row r="108" spans="1:22" x14ac:dyDescent="0.25">
      <c r="A108" s="58" t="s">
        <v>482</v>
      </c>
      <c r="B108" s="58" t="s">
        <v>858</v>
      </c>
      <c r="C108" s="58" t="s">
        <v>273</v>
      </c>
      <c r="D108" s="58" t="s">
        <v>483</v>
      </c>
      <c r="E108" s="58" t="b">
        <v>0</v>
      </c>
      <c r="F108" s="63"/>
      <c r="G108" s="58"/>
      <c r="H108" s="58"/>
      <c r="I108" s="58"/>
      <c r="J108" s="58"/>
      <c r="K108" s="58"/>
      <c r="L108" s="58"/>
      <c r="M108" s="58"/>
      <c r="N108" t="s">
        <v>250</v>
      </c>
      <c r="O108" t="s">
        <v>224</v>
      </c>
      <c r="P108" s="58"/>
      <c r="Q108" s="58" t="b">
        <v>1</v>
      </c>
      <c r="R108" s="58" t="b">
        <v>1</v>
      </c>
      <c r="S108" s="58" t="b">
        <v>1</v>
      </c>
      <c r="T108" s="58"/>
      <c r="U108" s="58"/>
      <c r="V108" s="58"/>
    </row>
    <row r="109" spans="1:22" x14ac:dyDescent="0.25">
      <c r="A109" s="58" t="s">
        <v>484</v>
      </c>
      <c r="B109" s="58"/>
      <c r="C109" s="58" t="s">
        <v>244</v>
      </c>
      <c r="D109" s="58" t="s">
        <v>467</v>
      </c>
      <c r="E109" s="58" t="b">
        <v>0</v>
      </c>
      <c r="F109" s="63"/>
      <c r="G109" s="58"/>
      <c r="H109" s="58"/>
      <c r="I109" s="58"/>
      <c r="J109" s="58"/>
      <c r="K109" s="58"/>
      <c r="L109" s="58"/>
      <c r="M109" s="58"/>
      <c r="N109" t="s">
        <v>250</v>
      </c>
      <c r="O109" t="s">
        <v>224</v>
      </c>
      <c r="P109" s="58"/>
      <c r="Q109" s="58" t="b">
        <v>1</v>
      </c>
      <c r="R109" s="58" t="b">
        <v>1</v>
      </c>
      <c r="S109" s="58" t="b">
        <v>0</v>
      </c>
      <c r="T109" s="58"/>
      <c r="U109" s="58"/>
      <c r="V109" s="58"/>
    </row>
    <row r="110" spans="1:22" ht="120" x14ac:dyDescent="0.25">
      <c r="A110" s="58" t="s">
        <v>478</v>
      </c>
      <c r="B110" s="58" t="s">
        <v>815</v>
      </c>
      <c r="C110" s="58" t="s">
        <v>244</v>
      </c>
      <c r="D110" s="58" t="s">
        <v>479</v>
      </c>
      <c r="E110" s="58" t="b">
        <v>0</v>
      </c>
      <c r="F110" s="63"/>
      <c r="G110" s="58" t="s">
        <v>859</v>
      </c>
      <c r="H110" s="58" t="s">
        <v>207</v>
      </c>
      <c r="I110" s="58" t="s">
        <v>198</v>
      </c>
      <c r="J110" s="58" t="s">
        <v>480</v>
      </c>
      <c r="K110" s="58"/>
      <c r="L110" s="58"/>
      <c r="M110" s="59" t="s">
        <v>481</v>
      </c>
      <c r="N110" s="61"/>
      <c r="O110" s="58"/>
      <c r="P110" s="58"/>
      <c r="Q110" s="58" t="b">
        <v>0</v>
      </c>
      <c r="R110" s="58" t="b">
        <v>0</v>
      </c>
      <c r="S110" s="58" t="b">
        <v>0</v>
      </c>
      <c r="T110" s="58"/>
      <c r="U110" s="58"/>
      <c r="V110" s="58"/>
    </row>
    <row r="111" spans="1:22" x14ac:dyDescent="0.25">
      <c r="A111" s="58"/>
      <c r="B111" s="58"/>
      <c r="C111" s="58"/>
      <c r="D111" s="58"/>
      <c r="E111" s="58"/>
      <c r="F111" s="63"/>
      <c r="G111" s="58"/>
      <c r="H111" s="58"/>
      <c r="I111" s="58"/>
      <c r="J111" s="58"/>
      <c r="K111" s="58"/>
      <c r="L111" s="58"/>
      <c r="M111" s="58"/>
      <c r="N111" s="58"/>
      <c r="O111" s="58"/>
      <c r="P111" s="58"/>
      <c r="Q111" s="58"/>
      <c r="R111" s="58"/>
      <c r="S111" s="58"/>
      <c r="T111" s="58"/>
      <c r="U111" s="58"/>
      <c r="V111" s="58"/>
    </row>
    <row r="112" spans="1:22" ht="15" customHeight="1" x14ac:dyDescent="0.25">
      <c r="A112" s="58"/>
      <c r="B112" s="58"/>
      <c r="C112" s="58"/>
      <c r="D112" s="58"/>
      <c r="E112" s="58"/>
      <c r="F112" s="63"/>
      <c r="G112" s="58"/>
      <c r="H112" s="58"/>
      <c r="I112" s="58"/>
      <c r="J112" s="58"/>
      <c r="K112" s="58"/>
      <c r="L112" s="58"/>
      <c r="M112" s="58"/>
      <c r="N112" s="58"/>
      <c r="O112" s="58"/>
      <c r="P112" s="58"/>
      <c r="Q112" s="58"/>
      <c r="R112" s="58"/>
      <c r="S112" s="58"/>
      <c r="T112" s="58"/>
      <c r="U112" s="58"/>
      <c r="V112" s="58"/>
    </row>
    <row r="113" spans="1:22" ht="15" customHeight="1" x14ac:dyDescent="0.25">
      <c r="A113" s="58"/>
      <c r="B113" s="58"/>
      <c r="C113" s="58"/>
      <c r="D113" s="58"/>
      <c r="E113" s="58"/>
      <c r="F113" s="63"/>
      <c r="G113" s="58"/>
      <c r="H113" s="58"/>
      <c r="I113" s="58"/>
      <c r="J113" s="58"/>
      <c r="K113" s="58"/>
      <c r="L113" s="58"/>
      <c r="M113" s="58"/>
      <c r="N113" s="58"/>
      <c r="O113" s="58"/>
      <c r="P113" s="58"/>
      <c r="Q113" s="58"/>
      <c r="R113" s="58"/>
      <c r="S113" s="58"/>
      <c r="T113" s="58"/>
      <c r="U113" s="58"/>
      <c r="V113" s="58"/>
    </row>
    <row r="114" spans="1:22" ht="15" customHeight="1" x14ac:dyDescent="0.25">
      <c r="A114" s="58"/>
      <c r="B114" s="58"/>
      <c r="C114" s="58"/>
      <c r="D114" s="58"/>
      <c r="E114" s="58"/>
      <c r="F114" s="63"/>
      <c r="G114" s="58"/>
      <c r="H114" s="58"/>
      <c r="I114" s="58"/>
      <c r="J114" s="58"/>
      <c r="K114" s="58"/>
      <c r="L114" s="58"/>
      <c r="M114" s="58"/>
      <c r="N114" s="58"/>
      <c r="O114" s="58"/>
      <c r="P114" s="58"/>
      <c r="Q114" s="58"/>
      <c r="R114" s="58"/>
      <c r="S114" s="58"/>
      <c r="T114" s="58"/>
      <c r="U114" s="58"/>
      <c r="V114" s="58"/>
    </row>
    <row r="115" spans="1:22" ht="15" customHeight="1" x14ac:dyDescent="0.25">
      <c r="A115" s="58"/>
      <c r="B115" s="58"/>
      <c r="C115" s="58"/>
      <c r="D115" s="58"/>
      <c r="E115" s="58"/>
      <c r="F115" s="63"/>
      <c r="G115" s="58"/>
      <c r="H115" s="58"/>
      <c r="I115" s="58"/>
      <c r="J115" s="58"/>
      <c r="K115" s="58"/>
      <c r="L115" s="58"/>
      <c r="M115" s="58"/>
      <c r="N115" s="58"/>
      <c r="O115" s="58"/>
      <c r="P115" s="58"/>
      <c r="Q115" s="58"/>
      <c r="R115" s="58"/>
      <c r="S115" s="58"/>
      <c r="T115" s="58"/>
      <c r="U115" s="58"/>
      <c r="V115" s="58"/>
    </row>
    <row r="116" spans="1:22" ht="15" customHeight="1" x14ac:dyDescent="0.25">
      <c r="A116" s="58"/>
      <c r="B116" s="58"/>
      <c r="C116" s="58"/>
      <c r="D116" s="58"/>
      <c r="E116" s="58"/>
      <c r="F116" s="63"/>
      <c r="G116" s="58"/>
      <c r="H116" s="58"/>
      <c r="I116" s="58"/>
      <c r="J116" s="58"/>
      <c r="K116" s="58"/>
      <c r="L116" s="58"/>
      <c r="M116" s="58"/>
      <c r="N116" s="58"/>
      <c r="O116" s="58"/>
      <c r="P116" s="58"/>
      <c r="Q116" s="58"/>
      <c r="R116" s="58"/>
      <c r="S116" s="58"/>
      <c r="T116" s="58"/>
      <c r="U116" s="58"/>
      <c r="V116" s="58"/>
    </row>
    <row r="117" spans="1:22" ht="15" customHeight="1" x14ac:dyDescent="0.25">
      <c r="A117" s="58"/>
      <c r="B117" s="58"/>
      <c r="C117" s="58"/>
      <c r="D117" s="58"/>
      <c r="E117" s="58"/>
      <c r="F117" s="63"/>
      <c r="G117" s="58"/>
      <c r="H117" s="58"/>
      <c r="I117" s="58"/>
      <c r="J117" s="58"/>
      <c r="K117" s="58"/>
      <c r="L117" s="58"/>
      <c r="M117" s="58"/>
      <c r="N117" s="58"/>
      <c r="O117" s="58"/>
      <c r="P117" s="58"/>
      <c r="Q117" s="58"/>
      <c r="R117" s="58"/>
      <c r="S117" s="58"/>
      <c r="T117" s="58"/>
      <c r="U117" s="58"/>
      <c r="V117" s="58"/>
    </row>
    <row r="118" spans="1:22" ht="15" customHeight="1" x14ac:dyDescent="0.25">
      <c r="A118" s="58"/>
      <c r="B118" s="58"/>
      <c r="C118" s="58"/>
      <c r="D118" s="58"/>
      <c r="E118" s="58"/>
      <c r="F118" s="63"/>
      <c r="G118" s="58"/>
      <c r="H118" s="58"/>
      <c r="I118" s="58"/>
      <c r="J118" s="58"/>
      <c r="K118" s="58"/>
      <c r="L118" s="58"/>
      <c r="M118" s="58"/>
      <c r="N118" s="58"/>
      <c r="O118" s="58"/>
      <c r="P118" s="58"/>
      <c r="Q118" s="58"/>
      <c r="R118" s="58"/>
      <c r="S118" s="58"/>
      <c r="T118" s="58"/>
      <c r="U118" s="58"/>
      <c r="V118" s="58"/>
    </row>
    <row r="119" spans="1:22" ht="15" customHeight="1" x14ac:dyDescent="0.25">
      <c r="A119" s="58"/>
      <c r="B119" s="58"/>
      <c r="C119" s="58"/>
      <c r="D119" s="58"/>
      <c r="E119" s="58"/>
      <c r="F119" s="63"/>
      <c r="G119" s="58"/>
      <c r="H119" s="58"/>
      <c r="I119" s="58"/>
      <c r="J119" s="58"/>
      <c r="K119" s="58"/>
      <c r="L119" s="58"/>
      <c r="M119" s="58"/>
      <c r="N119" s="58"/>
      <c r="O119" s="58"/>
      <c r="P119" s="58"/>
      <c r="Q119" s="58"/>
      <c r="R119" s="58"/>
      <c r="S119" s="58"/>
      <c r="T119" s="58"/>
      <c r="U119" s="58"/>
      <c r="V119" s="58"/>
    </row>
    <row r="120" spans="1:22" ht="15" customHeight="1" x14ac:dyDescent="0.25">
      <c r="A120" s="58"/>
      <c r="B120" s="58"/>
      <c r="C120" s="58"/>
      <c r="D120" s="58"/>
      <c r="E120" s="58"/>
      <c r="F120" s="63"/>
      <c r="G120" s="58"/>
      <c r="H120" s="58"/>
      <c r="I120" s="58"/>
      <c r="J120" s="58"/>
      <c r="K120" s="58"/>
      <c r="L120" s="58"/>
      <c r="M120" s="58"/>
      <c r="N120" s="58"/>
      <c r="O120" s="58"/>
      <c r="P120" s="58"/>
      <c r="Q120" s="58"/>
      <c r="R120" s="58"/>
      <c r="S120" s="58"/>
      <c r="T120" s="58"/>
      <c r="U120" s="58"/>
      <c r="V120" s="58"/>
    </row>
    <row r="121" spans="1:22" ht="15" customHeight="1" x14ac:dyDescent="0.25">
      <c r="E121" s="58"/>
      <c r="F121" s="63"/>
      <c r="G121" s="58"/>
      <c r="H121" s="58"/>
      <c r="I121" s="58"/>
      <c r="J121" s="58"/>
      <c r="K121" s="58"/>
      <c r="L121" s="58"/>
      <c r="M121" s="58"/>
      <c r="N121" s="58"/>
      <c r="O121" s="58"/>
      <c r="P121" s="58"/>
      <c r="Q121" s="58"/>
      <c r="R121" s="58"/>
      <c r="T121" s="58"/>
      <c r="U121" s="58"/>
      <c r="V121" s="58"/>
    </row>
  </sheetData>
  <autoFilter ref="A1:S111" xr:uid="{1B067A5A-47CB-446F-941A-60BB2802D1BF}"/>
  <phoneticPr fontId="2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1351-EBC7-487B-A6C6-9502295147BF}">
  <dimension ref="A1:R130"/>
  <sheetViews>
    <sheetView zoomScale="80" zoomScaleNormal="80" workbookViewId="0">
      <pane xSplit="1" ySplit="1" topLeftCell="B2" activePane="bottomRight" state="frozen"/>
      <selection pane="topRight"/>
      <selection pane="bottomLeft"/>
      <selection pane="bottomRight" activeCell="L8" sqref="L8"/>
    </sheetView>
  </sheetViews>
  <sheetFormatPr defaultColWidth="9" defaultRowHeight="15" x14ac:dyDescent="0.25"/>
  <cols>
    <col min="1" max="1" width="46.875" style="28" bestFit="1" customWidth="1"/>
    <col min="2" max="2" width="11.375" style="28" customWidth="1"/>
    <col min="3" max="3" width="11.625" style="28" bestFit="1" customWidth="1"/>
    <col min="4" max="4" width="59.5" style="28" customWidth="1"/>
    <col min="5" max="5" width="8.625" style="28" bestFit="1" customWidth="1"/>
    <col min="6" max="6" width="9.375" style="28" bestFit="1" customWidth="1"/>
    <col min="7" max="7" width="15.125" style="28" bestFit="1" customWidth="1"/>
    <col min="8" max="9" width="15.125" style="28" customWidth="1"/>
    <col min="10" max="11" width="9" style="28"/>
    <col min="12" max="12" width="11.625" style="28" bestFit="1" customWidth="1"/>
    <col min="13" max="13" width="15.125" style="28" bestFit="1" customWidth="1"/>
    <col min="14" max="15" width="9" style="28"/>
    <col min="16" max="16" width="34.375" style="28" customWidth="1"/>
    <col min="17" max="17" width="9" style="28"/>
    <col min="18" max="18" width="5" style="28" bestFit="1" customWidth="1"/>
    <col min="19" max="16384" width="9" style="28"/>
  </cols>
  <sheetData>
    <row r="1" spans="1:18" ht="38.25" x14ac:dyDescent="0.25">
      <c r="A1" s="27" t="s">
        <v>485</v>
      </c>
      <c r="B1" s="27" t="s">
        <v>486</v>
      </c>
      <c r="C1" s="27" t="s">
        <v>487</v>
      </c>
      <c r="D1" s="27" t="s">
        <v>178</v>
      </c>
      <c r="E1" s="27" t="s">
        <v>488</v>
      </c>
      <c r="F1" s="27" t="s">
        <v>489</v>
      </c>
      <c r="G1" s="27" t="s">
        <v>490</v>
      </c>
      <c r="H1" s="30" t="s">
        <v>491</v>
      </c>
      <c r="I1" s="30"/>
      <c r="J1" s="19" t="s">
        <v>181</v>
      </c>
      <c r="K1" s="19" t="s">
        <v>182</v>
      </c>
      <c r="L1" s="19" t="s">
        <v>183</v>
      </c>
      <c r="M1" s="19" t="s">
        <v>184</v>
      </c>
      <c r="N1" s="19" t="s">
        <v>185</v>
      </c>
      <c r="O1" s="19" t="s">
        <v>186</v>
      </c>
      <c r="P1" s="19" t="s">
        <v>187</v>
      </c>
      <c r="Q1" s="19" t="s">
        <v>188</v>
      </c>
      <c r="R1" s="19" t="s">
        <v>189</v>
      </c>
    </row>
    <row r="2" spans="1:18" x14ac:dyDescent="0.25">
      <c r="A2" s="59" t="s">
        <v>195</v>
      </c>
      <c r="B2" s="59" t="e">
        <f>VLOOKUP(A2,#REF!,1,FALSE)</f>
        <v>#REF!</v>
      </c>
      <c r="C2" s="59" t="s">
        <v>196</v>
      </c>
      <c r="D2" s="59" t="s">
        <v>492</v>
      </c>
      <c r="E2" s="59" t="b">
        <v>1</v>
      </c>
      <c r="F2" s="59" t="b">
        <v>0</v>
      </c>
      <c r="G2" s="59"/>
      <c r="H2" s="59"/>
      <c r="I2" s="59"/>
      <c r="J2" s="59"/>
      <c r="K2" s="59"/>
      <c r="L2" s="59" t="s">
        <v>493</v>
      </c>
      <c r="M2" s="26" t="s">
        <v>106</v>
      </c>
      <c r="N2" s="59"/>
      <c r="O2" s="59"/>
      <c r="P2" s="59"/>
      <c r="Q2" s="59"/>
      <c r="R2" s="59"/>
    </row>
    <row r="3" spans="1:18" x14ac:dyDescent="0.25">
      <c r="A3" s="59" t="s">
        <v>494</v>
      </c>
      <c r="B3" s="59" t="e">
        <f>VLOOKUP(A3,#REF!,1,FALSE)</f>
        <v>#REF!</v>
      </c>
      <c r="C3" s="59" t="s">
        <v>201</v>
      </c>
      <c r="D3" s="59" t="s">
        <v>495</v>
      </c>
      <c r="E3" s="59" t="b">
        <v>0</v>
      </c>
      <c r="F3" s="59" t="b">
        <v>1</v>
      </c>
      <c r="G3" s="59"/>
      <c r="H3" s="59"/>
      <c r="I3" s="59"/>
      <c r="J3" s="59"/>
      <c r="K3" s="59"/>
      <c r="L3" s="59"/>
      <c r="M3" s="59"/>
      <c r="N3" s="59"/>
      <c r="O3" s="59"/>
      <c r="P3" s="59"/>
      <c r="Q3" s="59"/>
      <c r="R3" s="59"/>
    </row>
    <row r="4" spans="1:18" x14ac:dyDescent="0.25">
      <c r="A4" s="59" t="s">
        <v>496</v>
      </c>
      <c r="B4" s="59" t="e">
        <f>VLOOKUP(A4,#REF!,1,FALSE)</f>
        <v>#REF!</v>
      </c>
      <c r="C4" s="59" t="s">
        <v>201</v>
      </c>
      <c r="D4" s="59" t="s">
        <v>497</v>
      </c>
      <c r="E4" s="59" t="b">
        <v>0</v>
      </c>
      <c r="F4" s="59" t="b">
        <v>1</v>
      </c>
      <c r="G4" s="59"/>
      <c r="H4" s="59"/>
      <c r="I4" s="59"/>
      <c r="J4" s="59"/>
      <c r="K4" s="59"/>
      <c r="L4" s="59"/>
      <c r="M4" s="59"/>
      <c r="N4" s="59"/>
      <c r="O4" s="59"/>
      <c r="P4" s="59"/>
      <c r="Q4" s="59"/>
      <c r="R4" s="59"/>
    </row>
    <row r="5" spans="1:18" ht="30" x14ac:dyDescent="0.25">
      <c r="A5" s="59" t="s">
        <v>217</v>
      </c>
      <c r="B5" s="59" t="e">
        <f>VLOOKUP(A5,#REF!,1,FALSE)</f>
        <v>#REF!</v>
      </c>
      <c r="C5" s="59" t="s">
        <v>201</v>
      </c>
      <c r="D5" s="59" t="s">
        <v>498</v>
      </c>
      <c r="E5" s="59" t="b">
        <v>0</v>
      </c>
      <c r="F5" s="59" t="b">
        <v>0</v>
      </c>
      <c r="G5" s="59"/>
      <c r="H5" s="59"/>
      <c r="I5" s="59"/>
      <c r="J5" s="59"/>
      <c r="K5" s="4" t="s">
        <v>499</v>
      </c>
      <c r="L5" s="4" t="s">
        <v>500</v>
      </c>
      <c r="M5" s="4" t="s">
        <v>219</v>
      </c>
      <c r="N5" s="59"/>
      <c r="O5" s="59"/>
      <c r="P5" s="32" t="s">
        <v>501</v>
      </c>
      <c r="Q5" s="59"/>
      <c r="R5" s="59"/>
    </row>
    <row r="6" spans="1:18" ht="75" x14ac:dyDescent="0.25">
      <c r="A6" s="59" t="s">
        <v>213</v>
      </c>
      <c r="B6" s="59" t="e">
        <f>VLOOKUP(A6,#REF!,1,FALSE)</f>
        <v>#REF!</v>
      </c>
      <c r="C6" s="59" t="s">
        <v>201</v>
      </c>
      <c r="D6" s="59" t="s">
        <v>502</v>
      </c>
      <c r="E6" s="59" t="b">
        <v>0</v>
      </c>
      <c r="F6" s="64" t="b">
        <v>0</v>
      </c>
      <c r="G6" s="59"/>
      <c r="H6" s="64" t="s">
        <v>503</v>
      </c>
      <c r="I6" s="64"/>
      <c r="J6" s="59"/>
      <c r="K6" s="4" t="s">
        <v>499</v>
      </c>
      <c r="L6" s="4" t="s">
        <v>500</v>
      </c>
      <c r="M6" s="61" t="s">
        <v>504</v>
      </c>
      <c r="N6" s="59"/>
      <c r="O6" s="59"/>
      <c r="P6" s="61" t="s">
        <v>505</v>
      </c>
      <c r="Q6" s="59"/>
      <c r="R6" s="59"/>
    </row>
    <row r="7" spans="1:18" ht="105" x14ac:dyDescent="0.25">
      <c r="A7" s="65" t="s">
        <v>506</v>
      </c>
      <c r="B7" s="59" t="e">
        <f>VLOOKUP(A7,#REF!,1,FALSE)</f>
        <v>#REF!</v>
      </c>
      <c r="C7" s="59" t="s">
        <v>201</v>
      </c>
      <c r="D7" s="59" t="s">
        <v>507</v>
      </c>
      <c r="E7" s="59" t="b">
        <v>0</v>
      </c>
      <c r="F7" s="64" t="b">
        <v>0</v>
      </c>
      <c r="G7" s="59"/>
      <c r="H7" s="64" t="s">
        <v>508</v>
      </c>
      <c r="I7" s="64"/>
      <c r="J7" s="59"/>
      <c r="K7" s="4" t="s">
        <v>499</v>
      </c>
      <c r="L7" s="4" t="s">
        <v>500</v>
      </c>
      <c r="M7" s="59" t="s">
        <v>509</v>
      </c>
      <c r="N7" s="59"/>
      <c r="O7" s="59"/>
      <c r="P7" s="64" t="s">
        <v>510</v>
      </c>
      <c r="Q7" s="59"/>
      <c r="R7" s="59"/>
    </row>
    <row r="8" spans="1:18" ht="75" x14ac:dyDescent="0.25">
      <c r="A8" s="59" t="s">
        <v>206</v>
      </c>
      <c r="B8" s="59" t="e">
        <f>VLOOKUP(A8,#REF!,1,FALSE)</f>
        <v>#REF!</v>
      </c>
      <c r="C8" s="59" t="s">
        <v>201</v>
      </c>
      <c r="D8" s="59" t="s">
        <v>511</v>
      </c>
      <c r="E8" s="59" t="b">
        <v>0</v>
      </c>
      <c r="F8" s="59" t="b">
        <v>0</v>
      </c>
      <c r="G8" s="59"/>
      <c r="H8" s="59" t="s">
        <v>512</v>
      </c>
      <c r="I8" s="59"/>
      <c r="J8" s="59"/>
      <c r="K8" s="4" t="s">
        <v>499</v>
      </c>
      <c r="L8" s="4" t="s">
        <v>500</v>
      </c>
      <c r="M8" s="61" t="s">
        <v>504</v>
      </c>
      <c r="N8" s="59"/>
      <c r="O8" s="59"/>
      <c r="P8" s="32" t="s">
        <v>513</v>
      </c>
      <c r="Q8" s="59"/>
      <c r="R8" s="59"/>
    </row>
    <row r="9" spans="1:18" x14ac:dyDescent="0.25">
      <c r="A9" s="59" t="s">
        <v>514</v>
      </c>
      <c r="B9" s="59" t="e">
        <f>VLOOKUP(A9,#REF!,1,FALSE)</f>
        <v>#REF!</v>
      </c>
      <c r="C9" s="59" t="s">
        <v>201</v>
      </c>
      <c r="D9" s="59" t="s">
        <v>515</v>
      </c>
      <c r="E9" s="59" t="b">
        <v>0</v>
      </c>
      <c r="F9" s="59" t="b">
        <v>1</v>
      </c>
      <c r="G9" s="59"/>
      <c r="H9" s="59"/>
      <c r="I9" s="59"/>
      <c r="J9" s="59"/>
      <c r="K9" s="59"/>
      <c r="L9" s="59"/>
      <c r="M9" s="59"/>
      <c r="N9" s="59"/>
      <c r="O9" s="59"/>
      <c r="P9" s="59"/>
      <c r="Q9" s="59"/>
      <c r="R9" s="59"/>
    </row>
    <row r="10" spans="1:18" x14ac:dyDescent="0.25">
      <c r="A10" s="59" t="s">
        <v>516</v>
      </c>
      <c r="B10" s="59" t="e">
        <f>VLOOKUP(A10,#REF!,1,FALSE)</f>
        <v>#REF!</v>
      </c>
      <c r="C10" s="59" t="s">
        <v>201</v>
      </c>
      <c r="D10" s="59" t="s">
        <v>517</v>
      </c>
      <c r="E10" s="59" t="b">
        <v>0</v>
      </c>
      <c r="F10" s="59" t="b">
        <v>1</v>
      </c>
      <c r="G10" s="59"/>
      <c r="H10" s="59"/>
      <c r="I10" s="59"/>
      <c r="J10" s="59"/>
      <c r="K10" s="59"/>
      <c r="L10" s="59"/>
      <c r="M10" s="59"/>
      <c r="N10" s="59"/>
      <c r="O10" s="59"/>
      <c r="P10" s="59"/>
      <c r="Q10" s="59"/>
      <c r="R10" s="59"/>
    </row>
    <row r="11" spans="1:18" ht="30" x14ac:dyDescent="0.25">
      <c r="A11" s="66" t="s">
        <v>222</v>
      </c>
      <c r="B11" s="59" t="e">
        <f>VLOOKUP(A11,#REF!,1,FALSE)</f>
        <v>#REF!</v>
      </c>
      <c r="C11" s="59" t="s">
        <v>223</v>
      </c>
      <c r="D11" s="59" t="s">
        <v>518</v>
      </c>
      <c r="E11" s="59" t="b">
        <v>0</v>
      </c>
      <c r="F11" s="31" t="b">
        <v>0</v>
      </c>
      <c r="G11" s="59" t="s">
        <v>519</v>
      </c>
      <c r="H11" s="59" t="s">
        <v>520</v>
      </c>
      <c r="I11" s="59"/>
      <c r="J11" s="59"/>
      <c r="K11" s="59"/>
      <c r="L11" s="59"/>
      <c r="M11" s="59"/>
      <c r="N11" s="59"/>
      <c r="O11" s="59"/>
      <c r="P11" s="59"/>
      <c r="Q11" s="59"/>
      <c r="R11" s="59"/>
    </row>
    <row r="12" spans="1:18" x14ac:dyDescent="0.25">
      <c r="A12" s="65" t="s">
        <v>521</v>
      </c>
      <c r="B12" s="59" t="e">
        <f>VLOOKUP(A12,#REF!,1,FALSE)</f>
        <v>#REF!</v>
      </c>
      <c r="C12" s="59" t="s">
        <v>201</v>
      </c>
      <c r="D12" s="59" t="s">
        <v>522</v>
      </c>
      <c r="E12" s="59" t="b">
        <v>0</v>
      </c>
      <c r="F12" s="59" t="b">
        <v>0</v>
      </c>
      <c r="G12" s="59"/>
      <c r="H12" s="59" t="s">
        <v>523</v>
      </c>
      <c r="I12" s="59"/>
      <c r="J12" s="59"/>
      <c r="K12" s="59"/>
      <c r="L12" s="59"/>
      <c r="M12" s="59"/>
      <c r="N12" s="59"/>
      <c r="O12" s="59"/>
      <c r="P12" s="59"/>
      <c r="Q12" s="59"/>
      <c r="R12" s="59"/>
    </row>
    <row r="13" spans="1:18" x14ac:dyDescent="0.25">
      <c r="A13" s="59" t="s">
        <v>524</v>
      </c>
      <c r="B13" s="59" t="e">
        <f>VLOOKUP(A13,#REF!,1,FALSE)</f>
        <v>#REF!</v>
      </c>
      <c r="C13" s="59" t="s">
        <v>201</v>
      </c>
      <c r="D13" s="59" t="s">
        <v>525</v>
      </c>
      <c r="E13" s="59" t="b">
        <v>0</v>
      </c>
      <c r="F13" s="59" t="b">
        <v>1</v>
      </c>
      <c r="G13" s="59"/>
      <c r="H13" s="59"/>
      <c r="I13" s="59"/>
      <c r="J13" s="59"/>
      <c r="K13" s="59"/>
      <c r="L13" s="59"/>
      <c r="M13" s="59"/>
      <c r="N13" s="59"/>
      <c r="O13" s="59"/>
      <c r="P13" s="59"/>
      <c r="Q13" s="59"/>
      <c r="R13" s="59"/>
    </row>
    <row r="14" spans="1:18" x14ac:dyDescent="0.25">
      <c r="A14" s="59" t="s">
        <v>526</v>
      </c>
      <c r="B14" s="59" t="e">
        <f>VLOOKUP(A14,#REF!,1,FALSE)</f>
        <v>#REF!</v>
      </c>
      <c r="C14" s="59" t="s">
        <v>201</v>
      </c>
      <c r="D14" s="59" t="s">
        <v>527</v>
      </c>
      <c r="E14" s="59" t="b">
        <v>0</v>
      </c>
      <c r="F14" s="59" t="b">
        <v>1</v>
      </c>
      <c r="G14" s="59"/>
      <c r="H14" s="59"/>
      <c r="I14" s="59"/>
      <c r="J14" s="59"/>
      <c r="K14" s="59"/>
      <c r="L14" s="59"/>
      <c r="M14" s="59"/>
      <c r="N14" s="59"/>
      <c r="O14" s="59"/>
      <c r="P14" s="59"/>
      <c r="Q14" s="59"/>
      <c r="R14" s="59"/>
    </row>
    <row r="15" spans="1:18" x14ac:dyDescent="0.25">
      <c r="A15" s="59" t="s">
        <v>528</v>
      </c>
      <c r="B15" s="59" t="e">
        <f>VLOOKUP(A15,#REF!,1,FALSE)</f>
        <v>#REF!</v>
      </c>
      <c r="C15" s="59" t="s">
        <v>201</v>
      </c>
      <c r="D15" s="59" t="s">
        <v>529</v>
      </c>
      <c r="E15" s="59" t="b">
        <v>0</v>
      </c>
      <c r="F15" s="59" t="b">
        <v>1</v>
      </c>
      <c r="G15" s="59"/>
      <c r="H15" s="59"/>
      <c r="I15" s="59"/>
      <c r="J15" s="59"/>
      <c r="K15" s="59"/>
      <c r="L15" s="59"/>
      <c r="M15" s="59"/>
      <c r="N15" s="59"/>
      <c r="O15" s="59"/>
      <c r="P15" s="59"/>
      <c r="Q15" s="59"/>
      <c r="R15" s="59"/>
    </row>
    <row r="16" spans="1:18" x14ac:dyDescent="0.25">
      <c r="A16" s="59" t="s">
        <v>530</v>
      </c>
      <c r="B16" s="59" t="e">
        <f>VLOOKUP(A16,#REF!,1,FALSE)</f>
        <v>#REF!</v>
      </c>
      <c r="C16" s="59" t="s">
        <v>201</v>
      </c>
      <c r="D16" s="59" t="s">
        <v>531</v>
      </c>
      <c r="E16" s="59" t="b">
        <v>0</v>
      </c>
      <c r="F16" s="59" t="b">
        <v>1</v>
      </c>
      <c r="G16" s="59"/>
      <c r="H16" s="59"/>
      <c r="I16" s="59"/>
      <c r="J16" s="59"/>
      <c r="K16" s="59"/>
      <c r="L16" s="59"/>
      <c r="M16" s="59"/>
      <c r="N16" s="59"/>
      <c r="O16" s="59"/>
      <c r="P16" s="59"/>
      <c r="Q16" s="59"/>
      <c r="R16" s="59"/>
    </row>
    <row r="17" spans="1:16" x14ac:dyDescent="0.25">
      <c r="A17" s="59" t="s">
        <v>532</v>
      </c>
      <c r="B17" s="59" t="e">
        <f>VLOOKUP(A17,#REF!,1,FALSE)</f>
        <v>#REF!</v>
      </c>
      <c r="C17" s="59" t="s">
        <v>201</v>
      </c>
      <c r="D17" s="59" t="s">
        <v>533</v>
      </c>
      <c r="E17" s="59" t="b">
        <v>0</v>
      </c>
      <c r="F17" s="59" t="b">
        <v>1</v>
      </c>
      <c r="G17" s="59"/>
      <c r="H17" s="59"/>
      <c r="I17" s="59"/>
      <c r="J17" s="59"/>
      <c r="K17" s="59"/>
      <c r="L17" s="59"/>
      <c r="M17" s="59"/>
      <c r="N17" s="59"/>
      <c r="O17" s="59"/>
      <c r="P17" s="59"/>
    </row>
    <row r="18" spans="1:16" x14ac:dyDescent="0.25">
      <c r="A18" s="59" t="s">
        <v>534</v>
      </c>
      <c r="B18" s="59" t="e">
        <f>VLOOKUP(A18,#REF!,1,FALSE)</f>
        <v>#REF!</v>
      </c>
      <c r="C18" s="59" t="s">
        <v>201</v>
      </c>
      <c r="D18" s="59" t="s">
        <v>535</v>
      </c>
      <c r="E18" s="59" t="b">
        <v>0</v>
      </c>
      <c r="F18" s="59" t="b">
        <v>1</v>
      </c>
      <c r="G18" s="59"/>
      <c r="H18" s="59"/>
      <c r="I18" s="59"/>
      <c r="J18" s="59"/>
      <c r="K18" s="59"/>
      <c r="L18" s="59"/>
      <c r="M18" s="59"/>
      <c r="N18" s="59"/>
      <c r="O18" s="59"/>
      <c r="P18" s="59"/>
    </row>
    <row r="19" spans="1:16" x14ac:dyDescent="0.25">
      <c r="A19" s="59" t="s">
        <v>536</v>
      </c>
      <c r="B19" s="59" t="e">
        <f>VLOOKUP(A19,#REF!,1,FALSE)</f>
        <v>#REF!</v>
      </c>
      <c r="C19" s="59" t="s">
        <v>201</v>
      </c>
      <c r="D19" s="59" t="s">
        <v>537</v>
      </c>
      <c r="E19" s="59" t="b">
        <v>0</v>
      </c>
      <c r="F19" s="59" t="b">
        <v>1</v>
      </c>
      <c r="G19" s="59"/>
      <c r="H19" s="59"/>
      <c r="I19" s="59"/>
      <c r="J19" s="59"/>
      <c r="K19" s="59"/>
      <c r="L19" s="59"/>
      <c r="M19" s="59"/>
      <c r="N19" s="59"/>
      <c r="O19" s="59"/>
      <c r="P19" s="59"/>
    </row>
    <row r="20" spans="1:16" x14ac:dyDescent="0.25">
      <c r="A20" s="59" t="s">
        <v>538</v>
      </c>
      <c r="B20" s="59" t="e">
        <f>VLOOKUP(A20,#REF!,1,FALSE)</f>
        <v>#REF!</v>
      </c>
      <c r="C20" s="59" t="s">
        <v>201</v>
      </c>
      <c r="D20" s="59" t="s">
        <v>539</v>
      </c>
      <c r="E20" s="59" t="b">
        <v>0</v>
      </c>
      <c r="F20" s="59" t="b">
        <v>1</v>
      </c>
      <c r="G20" s="59"/>
      <c r="H20" s="59"/>
      <c r="I20" s="59"/>
      <c r="J20" s="59"/>
      <c r="K20" s="59"/>
      <c r="L20" s="59"/>
      <c r="M20" s="59"/>
      <c r="N20" s="59"/>
      <c r="O20" s="59"/>
      <c r="P20" s="59"/>
    </row>
    <row r="21" spans="1:16" x14ac:dyDescent="0.25">
      <c r="A21" s="59" t="s">
        <v>540</v>
      </c>
      <c r="B21" s="59" t="e">
        <f>VLOOKUP(A21,#REF!,1,FALSE)</f>
        <v>#REF!</v>
      </c>
      <c r="C21" s="59" t="s">
        <v>201</v>
      </c>
      <c r="D21" s="59" t="s">
        <v>541</v>
      </c>
      <c r="E21" s="59" t="b">
        <v>0</v>
      </c>
      <c r="F21" s="59" t="b">
        <v>1</v>
      </c>
      <c r="G21" s="59"/>
      <c r="H21" s="59"/>
      <c r="I21" s="59"/>
      <c r="J21" s="59"/>
      <c r="K21" s="59"/>
      <c r="L21" s="59"/>
      <c r="M21" s="59"/>
      <c r="N21" s="59"/>
      <c r="O21" s="59"/>
      <c r="P21" s="59"/>
    </row>
    <row r="22" spans="1:16" x14ac:dyDescent="0.25">
      <c r="A22" s="59" t="s">
        <v>542</v>
      </c>
      <c r="B22" s="59" t="e">
        <f>VLOOKUP(A22,#REF!,1,FALSE)</f>
        <v>#REF!</v>
      </c>
      <c r="C22" s="59" t="s">
        <v>201</v>
      </c>
      <c r="D22" s="59" t="s">
        <v>543</v>
      </c>
      <c r="E22" s="59" t="b">
        <v>0</v>
      </c>
      <c r="F22" s="59" t="b">
        <v>1</v>
      </c>
      <c r="G22" s="59"/>
      <c r="H22" s="59"/>
      <c r="I22" s="59"/>
      <c r="J22" s="59"/>
      <c r="K22" s="59"/>
      <c r="L22" s="59"/>
      <c r="M22" s="59"/>
      <c r="N22" s="59"/>
      <c r="O22" s="59"/>
      <c r="P22" s="59"/>
    </row>
    <row r="23" spans="1:16" ht="30" x14ac:dyDescent="0.25">
      <c r="A23" s="59" t="s">
        <v>544</v>
      </c>
      <c r="B23" s="59" t="e">
        <f>VLOOKUP(A23,#REF!,1,FALSE)</f>
        <v>#REF!</v>
      </c>
      <c r="C23" s="59" t="s">
        <v>201</v>
      </c>
      <c r="D23" s="59" t="s">
        <v>545</v>
      </c>
      <c r="E23" s="59" t="b">
        <v>0</v>
      </c>
      <c r="F23" s="59" t="b">
        <v>0</v>
      </c>
      <c r="G23" s="59"/>
      <c r="H23" s="59" t="s">
        <v>546</v>
      </c>
      <c r="I23" s="59"/>
      <c r="J23" s="59"/>
      <c r="K23" s="61" t="s">
        <v>499</v>
      </c>
      <c r="L23" s="61" t="s">
        <v>500</v>
      </c>
      <c r="M23" s="61" t="s">
        <v>547</v>
      </c>
      <c r="N23" s="59"/>
      <c r="O23" s="59"/>
      <c r="P23" s="45" t="s">
        <v>548</v>
      </c>
    </row>
    <row r="24" spans="1:16" ht="75" x14ac:dyDescent="0.25">
      <c r="A24" s="59" t="s">
        <v>549</v>
      </c>
      <c r="B24" s="59" t="e">
        <f>VLOOKUP(A24,#REF!,1,FALSE)</f>
        <v>#REF!</v>
      </c>
      <c r="C24" s="59" t="s">
        <v>201</v>
      </c>
      <c r="D24" s="59" t="s">
        <v>550</v>
      </c>
      <c r="E24" s="59" t="b">
        <v>0</v>
      </c>
      <c r="F24" s="59" t="b">
        <v>0</v>
      </c>
      <c r="G24" s="59"/>
      <c r="H24" s="59" t="s">
        <v>546</v>
      </c>
      <c r="I24" s="59"/>
      <c r="J24" s="59"/>
      <c r="K24" s="61" t="s">
        <v>499</v>
      </c>
      <c r="L24" s="61" t="s">
        <v>500</v>
      </c>
      <c r="M24" s="61" t="s">
        <v>504</v>
      </c>
      <c r="N24" s="59"/>
      <c r="O24" s="59"/>
      <c r="P24" s="32" t="s">
        <v>548</v>
      </c>
    </row>
    <row r="25" spans="1:16" x14ac:dyDescent="0.25">
      <c r="A25" s="59" t="s">
        <v>551</v>
      </c>
      <c r="B25" s="59" t="e">
        <f>VLOOKUP(A25,#REF!,1,FALSE)</f>
        <v>#REF!</v>
      </c>
      <c r="C25" s="59" t="s">
        <v>201</v>
      </c>
      <c r="D25" s="59" t="s">
        <v>552</v>
      </c>
      <c r="E25" s="59" t="b">
        <v>0</v>
      </c>
      <c r="F25" s="59" t="b">
        <v>1</v>
      </c>
      <c r="G25" s="59"/>
      <c r="H25" s="59"/>
      <c r="I25" s="59"/>
      <c r="J25" s="59"/>
      <c r="K25" s="59"/>
      <c r="L25" s="59"/>
      <c r="M25" s="59"/>
      <c r="N25" s="59"/>
      <c r="O25" s="59"/>
      <c r="P25" s="59"/>
    </row>
    <row r="26" spans="1:16" x14ac:dyDescent="0.25">
      <c r="A26" s="59" t="s">
        <v>553</v>
      </c>
      <c r="B26" s="59" t="e">
        <f>VLOOKUP(A26,#REF!,1,FALSE)</f>
        <v>#REF!</v>
      </c>
      <c r="C26" s="59" t="s">
        <v>201</v>
      </c>
      <c r="D26" s="59" t="s">
        <v>554</v>
      </c>
      <c r="E26" s="59" t="b">
        <v>0</v>
      </c>
      <c r="F26" s="59" t="b">
        <v>1</v>
      </c>
      <c r="G26" s="59"/>
      <c r="H26" s="59"/>
      <c r="I26" s="59"/>
      <c r="J26" s="59"/>
      <c r="K26" s="59"/>
      <c r="L26" s="59"/>
      <c r="M26" s="59"/>
      <c r="N26" s="59"/>
      <c r="O26" s="59"/>
      <c r="P26" s="59"/>
    </row>
    <row r="27" spans="1:16" x14ac:dyDescent="0.25">
      <c r="A27" s="59" t="s">
        <v>555</v>
      </c>
      <c r="B27" s="59" t="e">
        <f>VLOOKUP(A27,#REF!,1,FALSE)</f>
        <v>#REF!</v>
      </c>
      <c r="C27" s="59" t="s">
        <v>201</v>
      </c>
      <c r="D27" s="59" t="s">
        <v>556</v>
      </c>
      <c r="E27" s="59" t="b">
        <v>0</v>
      </c>
      <c r="F27" s="59" t="b">
        <v>0</v>
      </c>
      <c r="G27" s="59"/>
      <c r="H27" s="59" t="s">
        <v>557</v>
      </c>
      <c r="I27" s="59"/>
      <c r="J27" s="59"/>
      <c r="K27" s="62" t="s">
        <v>499</v>
      </c>
      <c r="L27" s="67" t="s">
        <v>558</v>
      </c>
      <c r="M27" s="67" t="s">
        <v>559</v>
      </c>
      <c r="N27" s="59"/>
      <c r="O27" s="59"/>
      <c r="P27" s="59"/>
    </row>
    <row r="28" spans="1:16" ht="30" x14ac:dyDescent="0.25">
      <c r="A28" s="59" t="s">
        <v>560</v>
      </c>
      <c r="B28" s="59" t="e">
        <f>VLOOKUP(A28,#REF!,1,FALSE)</f>
        <v>#REF!</v>
      </c>
      <c r="C28" s="59" t="s">
        <v>201</v>
      </c>
      <c r="D28" s="59" t="s">
        <v>561</v>
      </c>
      <c r="E28" s="59" t="b">
        <v>0</v>
      </c>
      <c r="F28" s="59" t="b">
        <v>1</v>
      </c>
      <c r="G28" s="59"/>
      <c r="H28" s="59"/>
      <c r="I28" s="59"/>
      <c r="J28" s="59"/>
      <c r="K28" s="61" t="s">
        <v>499</v>
      </c>
      <c r="L28" s="61" t="s">
        <v>500</v>
      </c>
      <c r="M28" s="61" t="s">
        <v>547</v>
      </c>
      <c r="N28" s="59"/>
      <c r="O28" s="59"/>
      <c r="P28" s="61" t="s">
        <v>562</v>
      </c>
    </row>
    <row r="29" spans="1:16" ht="75" x14ac:dyDescent="0.25">
      <c r="A29" s="59" t="s">
        <v>563</v>
      </c>
      <c r="B29" s="59" t="e">
        <f>VLOOKUP(A29,#REF!,1,FALSE)</f>
        <v>#REF!</v>
      </c>
      <c r="C29" s="59" t="s">
        <v>201</v>
      </c>
      <c r="D29" s="59" t="s">
        <v>564</v>
      </c>
      <c r="E29" s="59" t="b">
        <v>0</v>
      </c>
      <c r="F29" s="59" t="b">
        <v>1</v>
      </c>
      <c r="G29" s="59"/>
      <c r="H29" s="59"/>
      <c r="I29" s="59"/>
      <c r="J29" s="59"/>
      <c r="K29" s="61" t="s">
        <v>499</v>
      </c>
      <c r="L29" s="4" t="s">
        <v>500</v>
      </c>
      <c r="M29" s="4" t="s">
        <v>504</v>
      </c>
      <c r="N29" s="59"/>
      <c r="O29" s="59"/>
      <c r="P29" s="61" t="s">
        <v>562</v>
      </c>
    </row>
    <row r="30" spans="1:16" ht="45" x14ac:dyDescent="0.25">
      <c r="A30" s="66" t="s">
        <v>565</v>
      </c>
      <c r="B30" s="59" t="e">
        <f>VLOOKUP(A30,#REF!,1,FALSE)</f>
        <v>#REF!</v>
      </c>
      <c r="C30" s="59" t="s">
        <v>201</v>
      </c>
      <c r="D30" s="59" t="s">
        <v>566</v>
      </c>
      <c r="E30" s="59" t="b">
        <v>0</v>
      </c>
      <c r="F30" s="59" t="b">
        <v>1</v>
      </c>
      <c r="G30" s="59" t="s">
        <v>519</v>
      </c>
      <c r="H30" s="59"/>
      <c r="I30" s="59"/>
      <c r="J30" s="59"/>
      <c r="K30" s="59"/>
      <c r="L30" s="59"/>
      <c r="M30" s="59"/>
      <c r="N30" s="59"/>
      <c r="O30" s="59"/>
      <c r="P30" s="59"/>
    </row>
    <row r="31" spans="1:16" ht="30" x14ac:dyDescent="0.25">
      <c r="A31" s="66" t="s">
        <v>567</v>
      </c>
      <c r="B31" s="59" t="e">
        <f>VLOOKUP(A31,#REF!,1,FALSE)</f>
        <v>#REF!</v>
      </c>
      <c r="C31" s="59" t="s">
        <v>201</v>
      </c>
      <c r="D31" s="59" t="s">
        <v>568</v>
      </c>
      <c r="E31" s="59" t="b">
        <v>0</v>
      </c>
      <c r="F31" s="59" t="b">
        <v>1</v>
      </c>
      <c r="G31" s="59" t="s">
        <v>519</v>
      </c>
      <c r="H31" s="59"/>
      <c r="I31" s="59"/>
      <c r="J31" s="59"/>
      <c r="K31" s="59"/>
      <c r="L31" s="59"/>
      <c r="M31" s="59"/>
      <c r="N31" s="59"/>
      <c r="O31" s="59"/>
      <c r="P31" s="59"/>
    </row>
    <row r="32" spans="1:16" x14ac:dyDescent="0.25">
      <c r="A32" s="59" t="s">
        <v>569</v>
      </c>
      <c r="B32" s="59" t="e">
        <f>VLOOKUP(A32,#REF!,1,FALSE)</f>
        <v>#REF!</v>
      </c>
      <c r="C32" s="59" t="s">
        <v>201</v>
      </c>
      <c r="D32" s="59" t="s">
        <v>570</v>
      </c>
      <c r="E32" s="59" t="b">
        <v>0</v>
      </c>
      <c r="F32" s="59" t="b">
        <v>1</v>
      </c>
      <c r="G32" s="59"/>
      <c r="H32" s="59"/>
      <c r="I32" s="59"/>
      <c r="J32" s="59"/>
      <c r="K32" s="59"/>
      <c r="L32" s="59"/>
      <c r="M32" s="59"/>
      <c r="N32" s="59"/>
      <c r="O32" s="59"/>
      <c r="P32" s="59"/>
    </row>
    <row r="33" spans="1:17" x14ac:dyDescent="0.25">
      <c r="A33" s="59" t="s">
        <v>571</v>
      </c>
      <c r="B33" s="59" t="e">
        <f>VLOOKUP(A33,#REF!,1,FALSE)</f>
        <v>#REF!</v>
      </c>
      <c r="C33" s="59" t="s">
        <v>201</v>
      </c>
      <c r="D33" s="59" t="s">
        <v>572</v>
      </c>
      <c r="E33" s="59" t="b">
        <v>0</v>
      </c>
      <c r="F33" s="59" t="b">
        <v>1</v>
      </c>
      <c r="G33" s="59"/>
      <c r="H33" s="59"/>
      <c r="I33" s="59"/>
      <c r="J33" s="59"/>
      <c r="K33" s="59"/>
      <c r="L33" s="59"/>
      <c r="M33" s="59"/>
      <c r="N33" s="59"/>
      <c r="O33" s="59"/>
      <c r="P33" s="59"/>
      <c r="Q33" s="59"/>
    </row>
    <row r="34" spans="1:17" x14ac:dyDescent="0.25">
      <c r="A34" s="59" t="s">
        <v>573</v>
      </c>
      <c r="B34" s="59" t="e">
        <f>VLOOKUP(A34,#REF!,1,FALSE)</f>
        <v>#REF!</v>
      </c>
      <c r="C34" s="59" t="s">
        <v>201</v>
      </c>
      <c r="D34" s="59" t="s">
        <v>574</v>
      </c>
      <c r="E34" s="59" t="b">
        <v>0</v>
      </c>
      <c r="F34" s="59" t="b">
        <v>1</v>
      </c>
      <c r="G34" s="59"/>
      <c r="H34" s="59"/>
      <c r="I34" s="59"/>
      <c r="J34" s="59"/>
      <c r="K34" s="59"/>
      <c r="L34" s="59"/>
      <c r="M34" s="59"/>
      <c r="N34" s="59"/>
      <c r="O34" s="59"/>
      <c r="P34" s="59"/>
      <c r="Q34" s="59"/>
    </row>
    <row r="35" spans="1:17" ht="45" x14ac:dyDescent="0.25">
      <c r="A35" s="59" t="s">
        <v>575</v>
      </c>
      <c r="B35" s="59" t="e">
        <f>VLOOKUP(A35,#REF!,1,FALSE)</f>
        <v>#REF!</v>
      </c>
      <c r="C35" s="59" t="s">
        <v>201</v>
      </c>
      <c r="D35" s="59" t="s">
        <v>576</v>
      </c>
      <c r="E35" s="59" t="b">
        <v>0</v>
      </c>
      <c r="F35" s="59" t="b">
        <v>1</v>
      </c>
      <c r="G35" s="59"/>
      <c r="H35" s="59"/>
      <c r="I35" s="59"/>
      <c r="J35" s="59"/>
      <c r="K35" s="59"/>
      <c r="L35" s="59"/>
      <c r="M35" s="59"/>
      <c r="N35" s="59"/>
      <c r="O35" s="59"/>
      <c r="P35" s="59"/>
      <c r="Q35" s="59"/>
    </row>
    <row r="36" spans="1:17" x14ac:dyDescent="0.25">
      <c r="A36" s="66" t="s">
        <v>577</v>
      </c>
      <c r="B36" s="59" t="e">
        <f>VLOOKUP(A36,#REF!,1,FALSE)</f>
        <v>#REF!</v>
      </c>
      <c r="C36" s="59" t="s">
        <v>249</v>
      </c>
      <c r="D36" s="59" t="s">
        <v>578</v>
      </c>
      <c r="E36" s="59" t="b">
        <v>0</v>
      </c>
      <c r="F36" s="59" t="b">
        <v>1</v>
      </c>
      <c r="G36" s="59" t="s">
        <v>519</v>
      </c>
      <c r="H36" s="59"/>
      <c r="I36" s="59"/>
      <c r="J36" s="59"/>
      <c r="K36" s="59"/>
      <c r="L36" s="59"/>
      <c r="M36" s="59"/>
      <c r="N36" s="59"/>
      <c r="O36" s="59"/>
      <c r="P36" s="59"/>
      <c r="Q36" s="59"/>
    </row>
    <row r="37" spans="1:17" x14ac:dyDescent="0.25">
      <c r="A37" s="59" t="s">
        <v>579</v>
      </c>
      <c r="B37" s="59" t="e">
        <f>VLOOKUP(A37,#REF!,1,FALSE)</f>
        <v>#REF!</v>
      </c>
      <c r="C37" s="59" t="s">
        <v>201</v>
      </c>
      <c r="D37" s="59" t="s">
        <v>580</v>
      </c>
      <c r="E37" s="59" t="b">
        <v>0</v>
      </c>
      <c r="F37" s="59" t="b">
        <v>1</v>
      </c>
      <c r="G37" s="59"/>
      <c r="H37" s="59"/>
      <c r="I37" s="59"/>
      <c r="J37" s="59"/>
      <c r="K37" s="59"/>
      <c r="L37" s="59"/>
      <c r="M37" s="59"/>
      <c r="N37" s="59"/>
      <c r="O37" s="59"/>
      <c r="P37" s="59"/>
      <c r="Q37" s="59"/>
    </row>
    <row r="38" spans="1:17" x14ac:dyDescent="0.25">
      <c r="A38" s="59" t="s">
        <v>581</v>
      </c>
      <c r="B38" s="59" t="e">
        <f>VLOOKUP(A38,#REF!,1,FALSE)</f>
        <v>#REF!</v>
      </c>
      <c r="C38" s="59" t="s">
        <v>201</v>
      </c>
      <c r="D38" s="59" t="s">
        <v>582</v>
      </c>
      <c r="E38" s="59" t="b">
        <v>0</v>
      </c>
      <c r="F38" s="59" t="b">
        <v>1</v>
      </c>
      <c r="G38" s="59"/>
      <c r="H38" s="59"/>
      <c r="I38" s="59"/>
      <c r="J38" s="59"/>
      <c r="K38" s="59"/>
      <c r="L38" s="59"/>
      <c r="M38" s="59"/>
      <c r="N38" s="59"/>
      <c r="O38" s="59"/>
      <c r="P38" s="59"/>
      <c r="Q38" s="59"/>
    </row>
    <row r="39" spans="1:17" ht="105" x14ac:dyDescent="0.25">
      <c r="A39" s="59" t="s">
        <v>583</v>
      </c>
      <c r="B39" s="59" t="e">
        <f>VLOOKUP(A39,#REF!,1,FALSE)</f>
        <v>#REF!</v>
      </c>
      <c r="C39" s="59" t="s">
        <v>584</v>
      </c>
      <c r="D39" s="59" t="s">
        <v>585</v>
      </c>
      <c r="E39" s="59" t="b">
        <v>0</v>
      </c>
      <c r="F39" s="59" t="b">
        <v>0</v>
      </c>
      <c r="G39" s="59"/>
      <c r="H39" s="59" t="s">
        <v>586</v>
      </c>
      <c r="I39" s="59" t="s">
        <v>587</v>
      </c>
      <c r="J39" s="59"/>
      <c r="K39" s="59"/>
      <c r="L39" s="59"/>
      <c r="M39" s="59" t="s">
        <v>588</v>
      </c>
      <c r="N39" s="59"/>
      <c r="O39" s="59"/>
      <c r="P39" s="59"/>
      <c r="Q39" s="59" t="s">
        <v>589</v>
      </c>
    </row>
    <row r="40" spans="1:17" x14ac:dyDescent="0.25">
      <c r="A40" s="59" t="s">
        <v>590</v>
      </c>
      <c r="B40" s="59" t="e">
        <f>VLOOKUP(A40,#REF!,1,FALSE)</f>
        <v>#REF!</v>
      </c>
      <c r="C40" s="59" t="s">
        <v>201</v>
      </c>
      <c r="D40" s="59" t="s">
        <v>591</v>
      </c>
      <c r="E40" s="59" t="b">
        <v>0</v>
      </c>
      <c r="F40" s="59" t="b">
        <v>1</v>
      </c>
      <c r="G40" s="59"/>
      <c r="H40" s="59"/>
      <c r="I40" s="59"/>
      <c r="J40" s="59"/>
      <c r="K40" s="59"/>
      <c r="L40" s="59"/>
      <c r="M40" s="59"/>
      <c r="N40" s="59"/>
      <c r="O40" s="59"/>
      <c r="P40" s="59"/>
      <c r="Q40" s="59"/>
    </row>
    <row r="41" spans="1:17" x14ac:dyDescent="0.25">
      <c r="A41" s="66" t="s">
        <v>592</v>
      </c>
      <c r="B41" s="59" t="e">
        <f>VLOOKUP(A41,#REF!,1,FALSE)</f>
        <v>#REF!</v>
      </c>
      <c r="C41" s="59" t="s">
        <v>201</v>
      </c>
      <c r="D41" s="59" t="s">
        <v>593</v>
      </c>
      <c r="E41" s="59" t="b">
        <v>0</v>
      </c>
      <c r="F41" s="59" t="b">
        <v>1</v>
      </c>
      <c r="G41" s="59" t="s">
        <v>519</v>
      </c>
      <c r="H41" s="59"/>
      <c r="I41" s="59"/>
      <c r="J41" s="59"/>
      <c r="K41" s="59"/>
      <c r="L41" s="59"/>
      <c r="M41" s="59"/>
      <c r="N41" s="59"/>
      <c r="O41" s="59"/>
      <c r="P41" s="59"/>
      <c r="Q41" s="59"/>
    </row>
    <row r="42" spans="1:17" ht="30" x14ac:dyDescent="0.25">
      <c r="A42" s="66" t="s">
        <v>594</v>
      </c>
      <c r="B42" s="59" t="e">
        <f>VLOOKUP(A42,#REF!,1,FALSE)</f>
        <v>#REF!</v>
      </c>
      <c r="C42" s="59" t="s">
        <v>201</v>
      </c>
      <c r="D42" s="59" t="s">
        <v>593</v>
      </c>
      <c r="E42" s="59" t="b">
        <v>0</v>
      </c>
      <c r="F42" s="59" t="b">
        <v>1</v>
      </c>
      <c r="G42" s="59" t="s">
        <v>519</v>
      </c>
      <c r="H42" s="59"/>
      <c r="I42" s="59"/>
      <c r="J42" s="59"/>
      <c r="K42" s="59"/>
      <c r="L42" s="59"/>
      <c r="M42" s="59"/>
      <c r="N42" s="59"/>
      <c r="O42" s="59"/>
      <c r="P42" s="59"/>
      <c r="Q42" s="59"/>
    </row>
    <row r="43" spans="1:17" ht="75" x14ac:dyDescent="0.25">
      <c r="A43" s="59" t="s">
        <v>595</v>
      </c>
      <c r="B43" s="59" t="e">
        <f>VLOOKUP(A43,#REF!,1,FALSE)</f>
        <v>#REF!</v>
      </c>
      <c r="C43" s="59" t="s">
        <v>201</v>
      </c>
      <c r="D43" s="59" t="s">
        <v>596</v>
      </c>
      <c r="E43" s="59" t="b">
        <v>0</v>
      </c>
      <c r="F43" s="64" t="b">
        <v>0</v>
      </c>
      <c r="G43" s="59"/>
      <c r="H43" s="59" t="s">
        <v>597</v>
      </c>
      <c r="I43" s="59"/>
      <c r="J43" s="59"/>
      <c r="K43" s="4" t="s">
        <v>499</v>
      </c>
      <c r="L43" s="4" t="s">
        <v>500</v>
      </c>
      <c r="M43" s="4" t="s">
        <v>504</v>
      </c>
      <c r="N43" s="59"/>
      <c r="O43" s="59"/>
      <c r="P43" s="61" t="s">
        <v>598</v>
      </c>
      <c r="Q43" s="59"/>
    </row>
    <row r="44" spans="1:17" ht="45" x14ac:dyDescent="0.25">
      <c r="A44" s="59" t="s">
        <v>599</v>
      </c>
      <c r="B44" s="59" t="e">
        <f>VLOOKUP(A44,#REF!,1,FALSE)</f>
        <v>#REF!</v>
      </c>
      <c r="C44" s="59" t="s">
        <v>201</v>
      </c>
      <c r="D44" s="59" t="s">
        <v>600</v>
      </c>
      <c r="E44" s="59" t="b">
        <v>0</v>
      </c>
      <c r="F44" s="64" t="b">
        <v>0</v>
      </c>
      <c r="G44" s="59"/>
      <c r="H44" s="59" t="s">
        <v>597</v>
      </c>
      <c r="I44" s="59"/>
      <c r="J44" s="59"/>
      <c r="K44" s="4" t="s">
        <v>499</v>
      </c>
      <c r="L44" s="4" t="s">
        <v>500</v>
      </c>
      <c r="M44" s="4" t="s">
        <v>219</v>
      </c>
      <c r="N44" s="59"/>
      <c r="O44" s="59"/>
      <c r="P44" s="61" t="s">
        <v>598</v>
      </c>
      <c r="Q44" s="59"/>
    </row>
    <row r="45" spans="1:17" x14ac:dyDescent="0.25">
      <c r="A45" s="59" t="s">
        <v>601</v>
      </c>
      <c r="B45" s="59" t="e">
        <f>VLOOKUP(A45,#REF!,1,FALSE)</f>
        <v>#REF!</v>
      </c>
      <c r="C45" s="59" t="s">
        <v>201</v>
      </c>
      <c r="D45" s="59" t="s">
        <v>602</v>
      </c>
      <c r="E45" s="59" t="b">
        <v>0</v>
      </c>
      <c r="F45" s="59" t="b">
        <v>1</v>
      </c>
      <c r="G45" s="59"/>
      <c r="H45" s="59"/>
      <c r="I45" s="59"/>
      <c r="J45" s="59"/>
      <c r="K45" s="59"/>
      <c r="L45" s="59"/>
      <c r="M45" s="59"/>
      <c r="N45" s="59"/>
      <c r="O45" s="59"/>
      <c r="P45" s="59"/>
      <c r="Q45" s="59"/>
    </row>
    <row r="46" spans="1:17" x14ac:dyDescent="0.25">
      <c r="A46" s="59" t="s">
        <v>603</v>
      </c>
      <c r="B46" s="59" t="e">
        <f>VLOOKUP(A46,#REF!,1,FALSE)</f>
        <v>#REF!</v>
      </c>
      <c r="C46" s="59" t="s">
        <v>201</v>
      </c>
      <c r="D46" s="59" t="s">
        <v>604</v>
      </c>
      <c r="E46" s="59" t="b">
        <v>0</v>
      </c>
      <c r="F46" s="59" t="b">
        <v>1</v>
      </c>
      <c r="G46" s="59"/>
      <c r="H46" s="59"/>
      <c r="I46" s="59"/>
      <c r="J46" s="59"/>
      <c r="K46" s="59"/>
      <c r="L46" s="59"/>
      <c r="M46" s="59"/>
      <c r="N46" s="59"/>
      <c r="O46" s="59"/>
      <c r="P46" s="59"/>
      <c r="Q46" s="59"/>
    </row>
    <row r="47" spans="1:17" x14ac:dyDescent="0.25">
      <c r="A47" s="59" t="s">
        <v>605</v>
      </c>
      <c r="B47" s="59" t="e">
        <f>VLOOKUP(A47,#REF!,1,FALSE)</f>
        <v>#REF!</v>
      </c>
      <c r="C47" s="59" t="s">
        <v>201</v>
      </c>
      <c r="D47" s="59" t="s">
        <v>606</v>
      </c>
      <c r="E47" s="59" t="b">
        <v>0</v>
      </c>
      <c r="F47" s="59" t="b">
        <v>1</v>
      </c>
      <c r="G47" s="59"/>
      <c r="H47" s="59"/>
      <c r="I47" s="59"/>
      <c r="J47" s="59"/>
      <c r="K47" s="59"/>
      <c r="L47" s="59"/>
      <c r="M47" s="59"/>
      <c r="N47" s="59"/>
      <c r="O47" s="59"/>
      <c r="P47" s="59"/>
      <c r="Q47" s="59"/>
    </row>
    <row r="48" spans="1:17" x14ac:dyDescent="0.25">
      <c r="A48" s="59" t="s">
        <v>607</v>
      </c>
      <c r="B48" s="59" t="e">
        <f>VLOOKUP(A48,#REF!,1,FALSE)</f>
        <v>#REF!</v>
      </c>
      <c r="C48" s="59" t="s">
        <v>201</v>
      </c>
      <c r="D48" s="59" t="s">
        <v>608</v>
      </c>
      <c r="E48" s="59" t="b">
        <v>0</v>
      </c>
      <c r="F48" s="59" t="b">
        <v>1</v>
      </c>
      <c r="G48" s="59"/>
      <c r="H48" s="59"/>
      <c r="I48" s="59"/>
      <c r="J48" s="59"/>
      <c r="K48" s="59"/>
      <c r="L48" s="59"/>
      <c r="M48" s="59"/>
      <c r="N48" s="59"/>
      <c r="O48" s="59"/>
      <c r="P48" s="59"/>
      <c r="Q48" s="59"/>
    </row>
    <row r="49" spans="1:9" ht="30" x14ac:dyDescent="0.25">
      <c r="A49" s="65" t="s">
        <v>226</v>
      </c>
      <c r="B49" s="59" t="e">
        <f>VLOOKUP(A49,#REF!,1,FALSE)</f>
        <v>#REF!</v>
      </c>
      <c r="C49" s="59" t="s">
        <v>227</v>
      </c>
      <c r="D49" s="59" t="s">
        <v>609</v>
      </c>
      <c r="E49" s="59" t="b">
        <v>0</v>
      </c>
      <c r="F49" s="64" t="b">
        <v>0</v>
      </c>
      <c r="G49" s="59"/>
      <c r="H49" s="59" t="s">
        <v>586</v>
      </c>
      <c r="I49" s="59" t="s">
        <v>610</v>
      </c>
    </row>
    <row r="50" spans="1:9" x14ac:dyDescent="0.25">
      <c r="A50" s="59" t="s">
        <v>611</v>
      </c>
      <c r="B50" s="59" t="e">
        <f>VLOOKUP(A50,#REF!,1,FALSE)</f>
        <v>#REF!</v>
      </c>
      <c r="C50" s="59" t="s">
        <v>227</v>
      </c>
      <c r="D50" s="59" t="s">
        <v>612</v>
      </c>
      <c r="E50" s="59" t="b">
        <v>0</v>
      </c>
      <c r="F50" s="59" t="b">
        <v>1</v>
      </c>
      <c r="G50" s="59"/>
      <c r="H50" s="59"/>
      <c r="I50" s="59"/>
    </row>
    <row r="51" spans="1:9" x14ac:dyDescent="0.25">
      <c r="A51" s="59" t="s">
        <v>613</v>
      </c>
      <c r="B51" s="59" t="e">
        <f>VLOOKUP(A51,#REF!,1,FALSE)</f>
        <v>#REF!</v>
      </c>
      <c r="C51" s="59" t="s">
        <v>201</v>
      </c>
      <c r="D51" s="59" t="s">
        <v>614</v>
      </c>
      <c r="E51" s="59" t="b">
        <v>0</v>
      </c>
      <c r="F51" s="59" t="b">
        <v>1</v>
      </c>
      <c r="G51" s="59"/>
      <c r="H51" s="59"/>
      <c r="I51" s="59"/>
    </row>
    <row r="52" spans="1:9" x14ac:dyDescent="0.25">
      <c r="A52" s="59" t="s">
        <v>615</v>
      </c>
      <c r="B52" s="59" t="e">
        <f>VLOOKUP(A52,#REF!,1,FALSE)</f>
        <v>#REF!</v>
      </c>
      <c r="C52" s="59" t="s">
        <v>201</v>
      </c>
      <c r="D52" s="59" t="s">
        <v>616</v>
      </c>
      <c r="E52" s="59" t="b">
        <v>0</v>
      </c>
      <c r="F52" s="59" t="b">
        <v>1</v>
      </c>
      <c r="G52" s="59"/>
      <c r="H52" s="59"/>
      <c r="I52" s="59"/>
    </row>
    <row r="53" spans="1:9" x14ac:dyDescent="0.25">
      <c r="A53" s="59" t="s">
        <v>617</v>
      </c>
      <c r="B53" s="59" t="e">
        <f>VLOOKUP(A53,#REF!,1,FALSE)</f>
        <v>#REF!</v>
      </c>
      <c r="C53" s="59" t="s">
        <v>201</v>
      </c>
      <c r="D53" s="59" t="s">
        <v>367</v>
      </c>
      <c r="E53" s="59" t="b">
        <v>0</v>
      </c>
      <c r="F53" s="59" t="b">
        <v>1</v>
      </c>
      <c r="G53" s="59"/>
      <c r="H53" s="59"/>
      <c r="I53" s="59"/>
    </row>
    <row r="54" spans="1:9" x14ac:dyDescent="0.25">
      <c r="A54" s="59" t="s">
        <v>618</v>
      </c>
      <c r="B54" s="59" t="e">
        <f>VLOOKUP(A54,#REF!,1,FALSE)</f>
        <v>#REF!</v>
      </c>
      <c r="C54" s="59" t="s">
        <v>201</v>
      </c>
      <c r="D54" s="59" t="s">
        <v>619</v>
      </c>
      <c r="E54" s="59" t="b">
        <v>0</v>
      </c>
      <c r="F54" s="59" t="b">
        <v>1</v>
      </c>
      <c r="G54" s="59"/>
      <c r="H54" s="59"/>
      <c r="I54" s="59"/>
    </row>
    <row r="55" spans="1:9" x14ac:dyDescent="0.25">
      <c r="A55" s="59" t="s">
        <v>620</v>
      </c>
      <c r="B55" s="59" t="e">
        <f>VLOOKUP(A55,#REF!,1,FALSE)</f>
        <v>#REF!</v>
      </c>
      <c r="C55" s="59" t="s">
        <v>201</v>
      </c>
      <c r="D55" s="59" t="s">
        <v>621</v>
      </c>
      <c r="E55" s="59" t="b">
        <v>0</v>
      </c>
      <c r="F55" s="59" t="b">
        <v>1</v>
      </c>
      <c r="G55" s="59"/>
      <c r="H55" s="59"/>
      <c r="I55" s="59"/>
    </row>
    <row r="56" spans="1:9" x14ac:dyDescent="0.25">
      <c r="A56" s="59" t="s">
        <v>622</v>
      </c>
      <c r="B56" s="59" t="e">
        <f>VLOOKUP(A56,#REF!,1,FALSE)</f>
        <v>#REF!</v>
      </c>
      <c r="C56" s="59" t="s">
        <v>201</v>
      </c>
      <c r="D56" s="59" t="s">
        <v>623</v>
      </c>
      <c r="E56" s="59" t="b">
        <v>0</v>
      </c>
      <c r="F56" s="59" t="b">
        <v>1</v>
      </c>
      <c r="G56" s="59"/>
      <c r="H56" s="59"/>
      <c r="I56" s="59"/>
    </row>
    <row r="57" spans="1:9" x14ac:dyDescent="0.25">
      <c r="A57" s="59" t="s">
        <v>624</v>
      </c>
      <c r="B57" s="59" t="e">
        <f>VLOOKUP(A57,#REF!,1,FALSE)</f>
        <v>#REF!</v>
      </c>
      <c r="C57" s="59" t="s">
        <v>201</v>
      </c>
      <c r="D57" s="59" t="s">
        <v>625</v>
      </c>
      <c r="E57" s="59" t="b">
        <v>0</v>
      </c>
      <c r="F57" s="59" t="b">
        <v>1</v>
      </c>
      <c r="G57" s="59"/>
      <c r="H57" s="59"/>
      <c r="I57" s="59"/>
    </row>
    <row r="58" spans="1:9" x14ac:dyDescent="0.25">
      <c r="A58" s="59" t="s">
        <v>626</v>
      </c>
      <c r="B58" s="59" t="e">
        <f>VLOOKUP(A58,#REF!,1,FALSE)</f>
        <v>#REF!</v>
      </c>
      <c r="C58" s="59" t="s">
        <v>201</v>
      </c>
      <c r="D58" s="59" t="s">
        <v>627</v>
      </c>
      <c r="E58" s="59" t="b">
        <v>0</v>
      </c>
      <c r="F58" s="59" t="b">
        <v>1</v>
      </c>
      <c r="G58" s="59"/>
      <c r="H58" s="59"/>
      <c r="I58" s="59"/>
    </row>
    <row r="59" spans="1:9" x14ac:dyDescent="0.25">
      <c r="A59" s="66" t="s">
        <v>628</v>
      </c>
      <c r="B59" s="59" t="e">
        <f>VLOOKUP(A59,#REF!,1,FALSE)</f>
        <v>#REF!</v>
      </c>
      <c r="C59" s="59" t="s">
        <v>201</v>
      </c>
      <c r="D59" s="59" t="s">
        <v>629</v>
      </c>
      <c r="E59" s="59" t="b">
        <v>0</v>
      </c>
      <c r="F59" s="59" t="b">
        <v>1</v>
      </c>
      <c r="G59" s="59" t="s">
        <v>519</v>
      </c>
      <c r="H59" s="59"/>
      <c r="I59" s="59"/>
    </row>
    <row r="60" spans="1:9" x14ac:dyDescent="0.25">
      <c r="A60" s="59" t="s">
        <v>630</v>
      </c>
      <c r="B60" s="59" t="e">
        <f>VLOOKUP(A60,#REF!,1,FALSE)</f>
        <v>#REF!</v>
      </c>
      <c r="C60" s="59" t="s">
        <v>201</v>
      </c>
      <c r="D60" s="59" t="s">
        <v>631</v>
      </c>
      <c r="E60" s="59" t="b">
        <v>0</v>
      </c>
      <c r="F60" s="59" t="b">
        <v>1</v>
      </c>
      <c r="G60" s="59"/>
      <c r="H60" s="59"/>
      <c r="I60" s="59"/>
    </row>
    <row r="61" spans="1:9" x14ac:dyDescent="0.25">
      <c r="A61" s="59" t="s">
        <v>632</v>
      </c>
      <c r="B61" s="59" t="e">
        <f>VLOOKUP(A61,#REF!,1,FALSE)</f>
        <v>#REF!</v>
      </c>
      <c r="C61" s="59" t="s">
        <v>201</v>
      </c>
      <c r="D61" s="59" t="s">
        <v>633</v>
      </c>
      <c r="E61" s="59" t="b">
        <v>0</v>
      </c>
      <c r="F61" s="59" t="b">
        <v>1</v>
      </c>
      <c r="G61" s="59"/>
      <c r="H61" s="59"/>
      <c r="I61" s="59"/>
    </row>
    <row r="62" spans="1:9" x14ac:dyDescent="0.25">
      <c r="A62" s="59" t="s">
        <v>634</v>
      </c>
      <c r="B62" s="59" t="e">
        <f>VLOOKUP(A62,#REF!,1,FALSE)</f>
        <v>#REF!</v>
      </c>
      <c r="C62" s="59" t="s">
        <v>201</v>
      </c>
      <c r="D62" s="59" t="s">
        <v>635</v>
      </c>
      <c r="E62" s="59" t="b">
        <v>0</v>
      </c>
      <c r="F62" s="59" t="b">
        <v>1</v>
      </c>
      <c r="G62" s="59"/>
      <c r="H62" s="59"/>
      <c r="I62" s="59"/>
    </row>
    <row r="63" spans="1:9" x14ac:dyDescent="0.25">
      <c r="A63" s="66" t="s">
        <v>636</v>
      </c>
      <c r="B63" s="59" t="e">
        <f>VLOOKUP(A63,#REF!,1,FALSE)</f>
        <v>#REF!</v>
      </c>
      <c r="C63" s="59" t="s">
        <v>227</v>
      </c>
      <c r="D63" s="59" t="s">
        <v>593</v>
      </c>
      <c r="E63" s="59" t="b">
        <v>0</v>
      </c>
      <c r="F63" s="59" t="b">
        <v>1</v>
      </c>
      <c r="G63" s="59" t="s">
        <v>519</v>
      </c>
      <c r="H63" s="59"/>
      <c r="I63" s="59"/>
    </row>
    <row r="64" spans="1:9" x14ac:dyDescent="0.25">
      <c r="A64" s="59" t="s">
        <v>637</v>
      </c>
      <c r="B64" s="59" t="e">
        <f>VLOOKUP(A64,#REF!,1,FALSE)</f>
        <v>#REF!</v>
      </c>
      <c r="C64" s="59" t="s">
        <v>227</v>
      </c>
      <c r="D64" s="59" t="s">
        <v>593</v>
      </c>
      <c r="E64" s="59" t="b">
        <v>0</v>
      </c>
      <c r="F64" s="59" t="b">
        <v>1</v>
      </c>
      <c r="G64" s="59"/>
      <c r="H64" s="59"/>
      <c r="I64" s="59"/>
    </row>
    <row r="65" spans="1:17" x14ac:dyDescent="0.25">
      <c r="A65" s="59" t="s">
        <v>638</v>
      </c>
      <c r="B65" s="59" t="e">
        <f>VLOOKUP(A65,#REF!,1,FALSE)</f>
        <v>#REF!</v>
      </c>
      <c r="C65" s="59" t="s">
        <v>227</v>
      </c>
      <c r="D65" s="59" t="s">
        <v>593</v>
      </c>
      <c r="E65" s="59" t="b">
        <v>0</v>
      </c>
      <c r="F65" s="59" t="b">
        <v>1</v>
      </c>
      <c r="G65" s="59"/>
      <c r="H65" s="59"/>
      <c r="I65" s="59"/>
      <c r="J65" s="59"/>
      <c r="K65" s="59"/>
      <c r="L65" s="59"/>
      <c r="M65" s="59"/>
      <c r="N65" s="59"/>
      <c r="O65" s="59"/>
      <c r="P65" s="59"/>
      <c r="Q65" s="59"/>
    </row>
    <row r="66" spans="1:17" x14ac:dyDescent="0.25">
      <c r="A66" s="59" t="s">
        <v>639</v>
      </c>
      <c r="B66" s="59" t="e">
        <f>VLOOKUP(A66,#REF!,1,FALSE)</f>
        <v>#REF!</v>
      </c>
      <c r="C66" s="59" t="s">
        <v>227</v>
      </c>
      <c r="D66" s="59" t="s">
        <v>593</v>
      </c>
      <c r="E66" s="59" t="b">
        <v>0</v>
      </c>
      <c r="F66" s="59" t="b">
        <v>1</v>
      </c>
      <c r="G66" s="59"/>
      <c r="H66" s="59"/>
      <c r="I66" s="59"/>
      <c r="J66" s="59"/>
      <c r="K66" s="59"/>
      <c r="L66" s="59"/>
      <c r="M66" s="59"/>
      <c r="N66" s="59"/>
      <c r="O66" s="59"/>
      <c r="P66" s="59"/>
      <c r="Q66" s="59"/>
    </row>
    <row r="67" spans="1:17" x14ac:dyDescent="0.25">
      <c r="A67" s="59" t="s">
        <v>640</v>
      </c>
      <c r="B67" s="59" t="e">
        <f>VLOOKUP(A67,#REF!,1,FALSE)</f>
        <v>#REF!</v>
      </c>
      <c r="C67" s="59" t="s">
        <v>227</v>
      </c>
      <c r="D67" s="59" t="s">
        <v>593</v>
      </c>
      <c r="E67" s="59" t="b">
        <v>0</v>
      </c>
      <c r="F67" s="59" t="b">
        <v>1</v>
      </c>
      <c r="G67" s="59"/>
      <c r="H67" s="59"/>
      <c r="I67" s="59"/>
      <c r="J67" s="59"/>
      <c r="K67" s="59"/>
      <c r="L67" s="59"/>
      <c r="M67" s="59"/>
      <c r="N67" s="59"/>
      <c r="O67" s="59"/>
      <c r="P67" s="59"/>
      <c r="Q67" s="59"/>
    </row>
    <row r="68" spans="1:17" ht="30" x14ac:dyDescent="0.25">
      <c r="A68" s="66" t="s">
        <v>641</v>
      </c>
      <c r="B68" s="59" t="e">
        <f>VLOOKUP(A68,#REF!,1,FALSE)</f>
        <v>#REF!</v>
      </c>
      <c r="C68" s="59" t="s">
        <v>244</v>
      </c>
      <c r="D68" s="59" t="s">
        <v>642</v>
      </c>
      <c r="E68" s="59" t="b">
        <v>0</v>
      </c>
      <c r="F68" s="59" t="b">
        <v>0</v>
      </c>
      <c r="G68" s="59" t="s">
        <v>643</v>
      </c>
      <c r="H68" s="59" t="s">
        <v>644</v>
      </c>
      <c r="I68" s="59"/>
      <c r="J68" s="59"/>
      <c r="K68" s="59"/>
      <c r="L68" s="59"/>
      <c r="M68" s="59" t="s">
        <v>588</v>
      </c>
      <c r="N68" s="59"/>
      <c r="O68" s="59"/>
      <c r="P68" s="59"/>
      <c r="Q68" s="59" t="s">
        <v>246</v>
      </c>
    </row>
    <row r="69" spans="1:17" x14ac:dyDescent="0.25">
      <c r="A69" s="59" t="s">
        <v>645</v>
      </c>
      <c r="B69" s="59" t="e">
        <f>VLOOKUP(A69,#REF!,1,FALSE)</f>
        <v>#REF!</v>
      </c>
      <c r="C69" s="59" t="s">
        <v>227</v>
      </c>
      <c r="D69" s="59" t="s">
        <v>646</v>
      </c>
      <c r="E69" s="59" t="b">
        <v>0</v>
      </c>
      <c r="F69" s="59" t="b">
        <v>1</v>
      </c>
      <c r="G69" s="59"/>
      <c r="H69" s="59"/>
      <c r="I69" s="59"/>
      <c r="J69" s="59"/>
      <c r="K69" s="59"/>
      <c r="L69" s="59"/>
      <c r="M69" s="59"/>
      <c r="N69" s="59"/>
      <c r="O69" s="59"/>
      <c r="P69" s="59"/>
      <c r="Q69" s="59"/>
    </row>
    <row r="70" spans="1:17" x14ac:dyDescent="0.25">
      <c r="A70" s="59" t="s">
        <v>647</v>
      </c>
      <c r="B70" s="59" t="e">
        <f>VLOOKUP(A70,#REF!,1,FALSE)</f>
        <v>#REF!</v>
      </c>
      <c r="C70" s="59" t="s">
        <v>201</v>
      </c>
      <c r="D70" s="59" t="s">
        <v>648</v>
      </c>
      <c r="E70" s="59" t="b">
        <v>0</v>
      </c>
      <c r="F70" s="59" t="b">
        <v>1</v>
      </c>
      <c r="G70" s="59"/>
      <c r="H70" s="59"/>
      <c r="I70" s="59"/>
      <c r="J70" s="59"/>
      <c r="K70" s="59"/>
      <c r="L70" s="59"/>
      <c r="M70" s="59"/>
      <c r="N70" s="59"/>
      <c r="O70" s="59"/>
      <c r="P70" s="59"/>
      <c r="Q70" s="59"/>
    </row>
    <row r="71" spans="1:17" x14ac:dyDescent="0.25">
      <c r="A71" s="59" t="s">
        <v>649</v>
      </c>
      <c r="B71" s="59" t="e">
        <f>VLOOKUP(A71,#REF!,1,FALSE)</f>
        <v>#REF!</v>
      </c>
      <c r="C71" s="59" t="s">
        <v>201</v>
      </c>
      <c r="D71" s="59" t="s">
        <v>650</v>
      </c>
      <c r="E71" s="59" t="b">
        <v>0</v>
      </c>
      <c r="F71" s="59" t="b">
        <v>1</v>
      </c>
      <c r="G71" s="59"/>
      <c r="H71" s="59"/>
      <c r="I71" s="59"/>
      <c r="J71" s="59"/>
      <c r="K71" s="59"/>
      <c r="L71" s="59"/>
      <c r="M71" s="59"/>
      <c r="N71" s="59"/>
      <c r="O71" s="59"/>
      <c r="P71" s="59"/>
      <c r="Q71" s="59"/>
    </row>
    <row r="72" spans="1:17" x14ac:dyDescent="0.25">
      <c r="A72" s="59" t="s">
        <v>651</v>
      </c>
      <c r="B72" s="59" t="e">
        <f>VLOOKUP(A72,#REF!,1,FALSE)</f>
        <v>#REF!</v>
      </c>
      <c r="C72" s="59" t="s">
        <v>201</v>
      </c>
      <c r="D72" s="59" t="s">
        <v>652</v>
      </c>
      <c r="E72" s="59" t="b">
        <v>0</v>
      </c>
      <c r="F72" s="59" t="b">
        <v>1</v>
      </c>
      <c r="G72" s="59"/>
      <c r="H72" s="59"/>
      <c r="I72" s="59"/>
      <c r="J72" s="59"/>
      <c r="K72" s="59"/>
      <c r="L72" s="59"/>
      <c r="M72" s="59"/>
      <c r="N72" s="59"/>
      <c r="O72" s="59"/>
      <c r="P72" s="59"/>
      <c r="Q72" s="59"/>
    </row>
    <row r="73" spans="1:17" x14ac:dyDescent="0.25">
      <c r="A73" s="59" t="s">
        <v>653</v>
      </c>
      <c r="B73" s="59" t="e">
        <f>VLOOKUP(A73,#REF!,1,FALSE)</f>
        <v>#REF!</v>
      </c>
      <c r="C73" s="59" t="s">
        <v>201</v>
      </c>
      <c r="D73" s="59" t="s">
        <v>654</v>
      </c>
      <c r="E73" s="59" t="b">
        <v>0</v>
      </c>
      <c r="F73" s="59" t="b">
        <v>1</v>
      </c>
      <c r="G73" s="59"/>
      <c r="H73" s="59"/>
      <c r="I73" s="59"/>
      <c r="J73" s="59"/>
      <c r="K73" s="59"/>
      <c r="L73" s="59"/>
      <c r="M73" s="59"/>
      <c r="N73" s="59"/>
      <c r="O73" s="59"/>
      <c r="P73" s="59"/>
      <c r="Q73" s="59"/>
    </row>
    <row r="74" spans="1:17" x14ac:dyDescent="0.25">
      <c r="A74" s="59" t="s">
        <v>655</v>
      </c>
      <c r="B74" s="59" t="e">
        <f>VLOOKUP(A74,#REF!,1,FALSE)</f>
        <v>#REF!</v>
      </c>
      <c r="C74" s="59" t="s">
        <v>201</v>
      </c>
      <c r="D74" s="59" t="s">
        <v>656</v>
      </c>
      <c r="E74" s="59" t="b">
        <v>0</v>
      </c>
      <c r="F74" s="59" t="b">
        <v>1</v>
      </c>
      <c r="G74" s="59"/>
      <c r="H74" s="59"/>
      <c r="I74" s="59"/>
      <c r="J74" s="59"/>
      <c r="K74" s="59"/>
      <c r="L74" s="59"/>
      <c r="M74" s="59"/>
      <c r="N74" s="59"/>
      <c r="O74" s="59"/>
      <c r="P74" s="59"/>
      <c r="Q74" s="59"/>
    </row>
    <row r="75" spans="1:17" ht="45" x14ac:dyDescent="0.25">
      <c r="A75" s="59" t="s">
        <v>657</v>
      </c>
      <c r="B75" s="59" t="e">
        <f>VLOOKUP(A75,#REF!,1,FALSE)</f>
        <v>#REF!</v>
      </c>
      <c r="C75" s="59" t="s">
        <v>201</v>
      </c>
      <c r="D75" s="59" t="s">
        <v>658</v>
      </c>
      <c r="E75" s="59" t="b">
        <v>0</v>
      </c>
      <c r="F75" s="59" t="b">
        <v>1</v>
      </c>
      <c r="G75" s="59"/>
      <c r="H75" s="59"/>
      <c r="I75" s="59"/>
      <c r="J75" s="59"/>
      <c r="K75" s="59"/>
      <c r="L75" s="59"/>
      <c r="M75" s="59"/>
      <c r="N75" s="59"/>
      <c r="O75" s="59"/>
      <c r="P75" s="59"/>
      <c r="Q75" s="59"/>
    </row>
    <row r="76" spans="1:17" ht="45" x14ac:dyDescent="0.25">
      <c r="A76" s="59" t="s">
        <v>659</v>
      </c>
      <c r="B76" s="59" t="e">
        <f>VLOOKUP(A76,#REF!,1,FALSE)</f>
        <v>#REF!</v>
      </c>
      <c r="C76" s="59" t="s">
        <v>201</v>
      </c>
      <c r="D76" s="59" t="s">
        <v>660</v>
      </c>
      <c r="E76" s="59" t="b">
        <v>0</v>
      </c>
      <c r="F76" s="59" t="b">
        <v>1</v>
      </c>
      <c r="G76" s="59"/>
      <c r="H76" s="59"/>
      <c r="I76" s="59"/>
      <c r="J76" s="59"/>
      <c r="K76" s="59"/>
      <c r="L76" s="59"/>
      <c r="M76" s="59"/>
      <c r="N76" s="59"/>
      <c r="O76" s="59"/>
      <c r="P76" s="59"/>
      <c r="Q76" s="59"/>
    </row>
    <row r="77" spans="1:17" ht="45" x14ac:dyDescent="0.25">
      <c r="A77" s="59" t="s">
        <v>661</v>
      </c>
      <c r="B77" s="59" t="e">
        <f>VLOOKUP(A77,#REF!,1,FALSE)</f>
        <v>#REF!</v>
      </c>
      <c r="C77" s="59" t="s">
        <v>201</v>
      </c>
      <c r="D77" s="59" t="s">
        <v>662</v>
      </c>
      <c r="E77" s="59" t="b">
        <v>0</v>
      </c>
      <c r="F77" s="59" t="b">
        <v>1</v>
      </c>
      <c r="G77" s="59"/>
      <c r="H77" s="59"/>
      <c r="I77" s="59"/>
      <c r="J77" s="59"/>
      <c r="K77" s="59"/>
      <c r="L77" s="59"/>
      <c r="M77" s="59"/>
      <c r="N77" s="59"/>
      <c r="O77" s="59"/>
      <c r="P77" s="59"/>
      <c r="Q77" s="59"/>
    </row>
    <row r="78" spans="1:17" ht="45" x14ac:dyDescent="0.25">
      <c r="A78" s="59" t="s">
        <v>663</v>
      </c>
      <c r="B78" s="59" t="e">
        <f>VLOOKUP(A78,#REF!,1,FALSE)</f>
        <v>#REF!</v>
      </c>
      <c r="C78" s="59" t="s">
        <v>201</v>
      </c>
      <c r="D78" s="59" t="s">
        <v>664</v>
      </c>
      <c r="E78" s="59" t="b">
        <v>0</v>
      </c>
      <c r="F78" s="59" t="b">
        <v>1</v>
      </c>
      <c r="G78" s="59"/>
      <c r="H78" s="59"/>
      <c r="I78" s="59"/>
      <c r="J78" s="59"/>
      <c r="K78" s="59"/>
      <c r="L78" s="59"/>
      <c r="M78" s="59"/>
      <c r="N78" s="59"/>
      <c r="O78" s="59"/>
      <c r="P78" s="59"/>
      <c r="Q78" s="59"/>
    </row>
    <row r="79" spans="1:17" ht="30" x14ac:dyDescent="0.25">
      <c r="A79" s="59" t="s">
        <v>665</v>
      </c>
      <c r="B79" s="59" t="e">
        <f>VLOOKUP(A79,#REF!,1,FALSE)</f>
        <v>#REF!</v>
      </c>
      <c r="C79" s="59" t="s">
        <v>666</v>
      </c>
      <c r="D79" s="59" t="s">
        <v>667</v>
      </c>
      <c r="E79" s="59" t="b">
        <v>0</v>
      </c>
      <c r="F79" s="59" t="b">
        <v>1</v>
      </c>
      <c r="G79" s="59"/>
      <c r="H79" s="59"/>
      <c r="I79" s="59"/>
      <c r="J79" s="59"/>
      <c r="K79" s="59"/>
      <c r="L79" s="59"/>
      <c r="M79" s="59"/>
      <c r="N79" s="59"/>
      <c r="O79" s="59"/>
      <c r="P79" s="59"/>
      <c r="Q79" s="59"/>
    </row>
    <row r="80" spans="1:17" x14ac:dyDescent="0.25">
      <c r="A80" s="66" t="s">
        <v>668</v>
      </c>
      <c r="B80" s="59" t="e">
        <f>VLOOKUP(A80,#REF!,1,FALSE)</f>
        <v>#REF!</v>
      </c>
      <c r="C80" s="59" t="s">
        <v>584</v>
      </c>
      <c r="D80" s="59"/>
      <c r="E80" s="59" t="b">
        <v>1</v>
      </c>
      <c r="F80" s="59" t="b">
        <v>0</v>
      </c>
      <c r="G80" s="59" t="s">
        <v>519</v>
      </c>
      <c r="H80" s="59"/>
      <c r="I80" s="59"/>
      <c r="J80" s="59"/>
      <c r="K80" s="59"/>
      <c r="L80" s="59"/>
      <c r="M80" s="59"/>
      <c r="N80" s="59"/>
      <c r="O80" s="59"/>
      <c r="P80" s="59"/>
      <c r="Q80" s="59"/>
    </row>
    <row r="81" spans="1:13" x14ac:dyDescent="0.25">
      <c r="A81" s="66" t="s">
        <v>669</v>
      </c>
      <c r="B81" s="59" t="e">
        <f>VLOOKUP(A81,#REF!,1,FALSE)</f>
        <v>#REF!</v>
      </c>
      <c r="C81" s="59" t="s">
        <v>584</v>
      </c>
      <c r="D81" s="59"/>
      <c r="E81" s="59" t="b">
        <v>1</v>
      </c>
      <c r="F81" s="59" t="b">
        <v>0</v>
      </c>
      <c r="G81" s="59" t="s">
        <v>519</v>
      </c>
      <c r="H81" s="59"/>
      <c r="I81" s="59"/>
      <c r="J81" s="59"/>
      <c r="K81" s="59"/>
      <c r="L81" s="59"/>
      <c r="M81" s="59"/>
    </row>
    <row r="82" spans="1:13" x14ac:dyDescent="0.25">
      <c r="A82" s="59" t="s">
        <v>670</v>
      </c>
      <c r="B82" s="59" t="e">
        <f>VLOOKUP(A82,#REF!,1,FALSE)</f>
        <v>#REF!</v>
      </c>
      <c r="C82" s="59" t="s">
        <v>196</v>
      </c>
      <c r="D82" s="59" t="s">
        <v>195</v>
      </c>
      <c r="E82" s="59" t="b">
        <v>1</v>
      </c>
      <c r="F82" s="59" t="b">
        <v>0</v>
      </c>
      <c r="G82" s="59"/>
      <c r="H82" s="59"/>
      <c r="I82" s="59"/>
      <c r="J82" s="59"/>
      <c r="K82" s="59"/>
      <c r="L82" s="59" t="s">
        <v>493</v>
      </c>
      <c r="M82" s="29" t="s">
        <v>670</v>
      </c>
    </row>
    <row r="83" spans="1:13" x14ac:dyDescent="0.25">
      <c r="A83" s="59" t="s">
        <v>671</v>
      </c>
      <c r="B83" s="59" t="e">
        <f>VLOOKUP(A83,#REF!,1,FALSE)</f>
        <v>#REF!</v>
      </c>
      <c r="C83" s="59" t="s">
        <v>201</v>
      </c>
      <c r="D83" s="59"/>
      <c r="E83" s="59" t="b">
        <v>0</v>
      </c>
      <c r="F83" s="59" t="b">
        <v>1</v>
      </c>
      <c r="G83" s="59"/>
      <c r="H83" s="59"/>
      <c r="I83" s="59"/>
      <c r="J83" s="59"/>
      <c r="K83" s="59"/>
      <c r="L83" s="59"/>
      <c r="M83" s="59"/>
    </row>
    <row r="84" spans="1:13" x14ac:dyDescent="0.25">
      <c r="A84" s="59" t="s">
        <v>672</v>
      </c>
      <c r="B84" s="59" t="e">
        <f>VLOOKUP(A84,#REF!,1,FALSE)</f>
        <v>#REF!</v>
      </c>
      <c r="C84" s="59" t="s">
        <v>201</v>
      </c>
      <c r="D84" s="59"/>
      <c r="E84" s="59" t="b">
        <v>0</v>
      </c>
      <c r="F84" s="59" t="b">
        <v>1</v>
      </c>
      <c r="G84" s="59"/>
      <c r="H84" s="59"/>
      <c r="I84" s="59"/>
      <c r="J84" s="59"/>
      <c r="K84" s="59"/>
      <c r="L84" s="59"/>
      <c r="M84" s="59"/>
    </row>
    <row r="85" spans="1:13" x14ac:dyDescent="0.25">
      <c r="A85" s="59" t="s">
        <v>673</v>
      </c>
      <c r="B85" s="59" t="e">
        <f>VLOOKUP(A85,#REF!,1,FALSE)</f>
        <v>#REF!</v>
      </c>
      <c r="C85" s="59" t="s">
        <v>273</v>
      </c>
      <c r="D85" s="65" t="s">
        <v>674</v>
      </c>
      <c r="E85" s="59" t="b">
        <v>0</v>
      </c>
      <c r="F85" s="59" t="b">
        <v>1</v>
      </c>
      <c r="G85" s="59"/>
      <c r="H85" s="59"/>
      <c r="I85" s="59"/>
      <c r="J85" s="59"/>
      <c r="K85" s="59"/>
      <c r="L85" s="59"/>
      <c r="M85" s="59"/>
    </row>
    <row r="86" spans="1:13" ht="45" x14ac:dyDescent="0.25">
      <c r="A86" s="59" t="s">
        <v>675</v>
      </c>
      <c r="B86" s="59" t="e">
        <f>VLOOKUP(A86,#REF!,1,FALSE)</f>
        <v>#REF!</v>
      </c>
      <c r="C86" s="59" t="s">
        <v>196</v>
      </c>
      <c r="D86" s="65" t="s">
        <v>676</v>
      </c>
      <c r="E86" s="59" t="b">
        <v>0</v>
      </c>
      <c r="F86" s="59" t="b">
        <v>1</v>
      </c>
      <c r="G86" s="59"/>
      <c r="H86" s="59"/>
      <c r="I86" s="59"/>
      <c r="J86" s="59"/>
      <c r="K86" s="59"/>
      <c r="L86" s="59"/>
      <c r="M86" s="59"/>
    </row>
    <row r="87" spans="1:13" x14ac:dyDescent="0.25">
      <c r="A87" s="59" t="s">
        <v>677</v>
      </c>
      <c r="B87" s="59" t="e">
        <f>VLOOKUP(A87,#REF!,1,FALSE)</f>
        <v>#REF!</v>
      </c>
      <c r="C87" s="59" t="s">
        <v>273</v>
      </c>
      <c r="D87" s="65" t="s">
        <v>678</v>
      </c>
      <c r="E87" s="59" t="b">
        <v>0</v>
      </c>
      <c r="F87" s="59" t="b">
        <v>1</v>
      </c>
      <c r="G87" s="59"/>
      <c r="H87" s="59"/>
      <c r="I87" s="59"/>
      <c r="J87" s="59"/>
      <c r="K87" s="59"/>
      <c r="L87" s="59"/>
      <c r="M87" s="59"/>
    </row>
    <row r="88" spans="1:13" x14ac:dyDescent="0.25">
      <c r="A88" s="59" t="s">
        <v>679</v>
      </c>
      <c r="B88" s="59" t="e">
        <f>VLOOKUP(A88,#REF!,1,FALSE)</f>
        <v>#REF!</v>
      </c>
      <c r="C88" s="59" t="s">
        <v>327</v>
      </c>
      <c r="D88" s="65" t="s">
        <v>680</v>
      </c>
      <c r="E88" s="59" t="b">
        <v>0</v>
      </c>
      <c r="F88" s="59" t="b">
        <v>1</v>
      </c>
      <c r="G88" s="59"/>
      <c r="H88" s="59"/>
      <c r="I88" s="59"/>
      <c r="J88" s="59"/>
      <c r="K88" s="59"/>
      <c r="L88" s="59"/>
      <c r="M88" s="59"/>
    </row>
    <row r="89" spans="1:13" x14ac:dyDescent="0.25">
      <c r="A89" s="59" t="s">
        <v>681</v>
      </c>
      <c r="B89" s="59" t="e">
        <f>VLOOKUP(A89,#REF!,1,FALSE)</f>
        <v>#REF!</v>
      </c>
      <c r="C89" s="59" t="s">
        <v>327</v>
      </c>
      <c r="D89" s="65" t="s">
        <v>682</v>
      </c>
      <c r="E89" s="59" t="b">
        <v>0</v>
      </c>
      <c r="F89" s="59" t="b">
        <v>1</v>
      </c>
      <c r="G89" s="59"/>
      <c r="H89" s="59"/>
      <c r="I89" s="59"/>
      <c r="J89" s="59"/>
      <c r="K89" s="59"/>
      <c r="L89" s="59"/>
      <c r="M89" s="59"/>
    </row>
    <row r="90" spans="1:13" x14ac:dyDescent="0.25">
      <c r="A90" s="59" t="s">
        <v>683</v>
      </c>
      <c r="B90" s="59" t="e">
        <f>VLOOKUP(A90,#REF!,1,FALSE)</f>
        <v>#REF!</v>
      </c>
      <c r="C90" s="59" t="s">
        <v>327</v>
      </c>
      <c r="D90" s="65" t="s">
        <v>684</v>
      </c>
      <c r="E90" s="59" t="b">
        <v>0</v>
      </c>
      <c r="F90" s="59" t="b">
        <v>1</v>
      </c>
      <c r="G90" s="59"/>
      <c r="H90" s="59"/>
      <c r="I90" s="59"/>
      <c r="J90" s="59"/>
      <c r="K90" s="59"/>
      <c r="L90" s="59"/>
      <c r="M90" s="59"/>
    </row>
    <row r="91" spans="1:13" x14ac:dyDescent="0.25">
      <c r="A91" s="59" t="s">
        <v>685</v>
      </c>
      <c r="B91" s="59" t="e">
        <f>VLOOKUP(A91,#REF!,1,FALSE)</f>
        <v>#REF!</v>
      </c>
      <c r="C91" s="59" t="s">
        <v>244</v>
      </c>
      <c r="D91" s="65" t="s">
        <v>686</v>
      </c>
      <c r="E91" s="59" t="b">
        <v>0</v>
      </c>
      <c r="F91" s="59" t="b">
        <v>1</v>
      </c>
      <c r="G91" s="59"/>
      <c r="H91" s="59"/>
      <c r="I91" s="59"/>
      <c r="J91" s="59"/>
      <c r="K91" s="59"/>
      <c r="L91" s="59"/>
      <c r="M91" s="59"/>
    </row>
    <row r="92" spans="1:13" x14ac:dyDescent="0.25">
      <c r="A92" s="59" t="s">
        <v>687</v>
      </c>
      <c r="B92" s="59" t="e">
        <f>VLOOKUP(A92,#REF!,1,FALSE)</f>
        <v>#REF!</v>
      </c>
      <c r="C92" s="59" t="s">
        <v>244</v>
      </c>
      <c r="D92" s="65" t="s">
        <v>688</v>
      </c>
      <c r="E92" s="59" t="b">
        <v>0</v>
      </c>
      <c r="F92" s="59" t="b">
        <v>1</v>
      </c>
      <c r="G92" s="59"/>
      <c r="H92" s="59"/>
      <c r="I92" s="59"/>
      <c r="J92" s="59"/>
      <c r="K92" s="59"/>
      <c r="L92" s="59"/>
      <c r="M92" s="59"/>
    </row>
    <row r="93" spans="1:13" ht="45" x14ac:dyDescent="0.25">
      <c r="A93" s="59" t="s">
        <v>243</v>
      </c>
      <c r="B93" s="59" t="e">
        <f>VLOOKUP(A93,#REF!,1,FALSE)</f>
        <v>#REF!</v>
      </c>
      <c r="C93" s="59" t="s">
        <v>244</v>
      </c>
      <c r="D93" s="65" t="s">
        <v>689</v>
      </c>
      <c r="E93" s="59" t="b">
        <v>0</v>
      </c>
      <c r="F93" s="59" t="b">
        <v>0</v>
      </c>
      <c r="G93" s="59" t="s">
        <v>690</v>
      </c>
      <c r="H93" s="59"/>
      <c r="I93" s="59" t="s">
        <v>691</v>
      </c>
      <c r="J93" s="59"/>
      <c r="K93" s="59"/>
      <c r="L93" s="59"/>
      <c r="M93" s="59"/>
    </row>
    <row r="94" spans="1:13" ht="90" x14ac:dyDescent="0.25">
      <c r="A94" s="59" t="s">
        <v>248</v>
      </c>
      <c r="B94" s="59" t="e">
        <f>VLOOKUP(A94,#REF!,1,FALSE)</f>
        <v>#REF!</v>
      </c>
      <c r="C94" s="59" t="s">
        <v>249</v>
      </c>
      <c r="D94" s="65" t="s">
        <v>692</v>
      </c>
      <c r="E94" s="59" t="b">
        <v>0</v>
      </c>
      <c r="F94" s="59" t="b">
        <v>0</v>
      </c>
      <c r="G94" s="59" t="s">
        <v>690</v>
      </c>
      <c r="H94" s="59"/>
      <c r="I94" s="59" t="s">
        <v>693</v>
      </c>
      <c r="J94" s="59"/>
      <c r="K94" s="59"/>
      <c r="L94" s="59"/>
      <c r="M94" s="59"/>
    </row>
    <row r="95" spans="1:13" ht="45" x14ac:dyDescent="0.25">
      <c r="A95" s="59" t="s">
        <v>257</v>
      </c>
      <c r="B95" s="59" t="e">
        <f>VLOOKUP(A95,#REF!,1,FALSE)</f>
        <v>#REF!</v>
      </c>
      <c r="C95" s="59" t="e">
        <v>#N/A</v>
      </c>
      <c r="D95" s="65" t="s">
        <v>694</v>
      </c>
      <c r="E95" s="59" t="b">
        <v>0</v>
      </c>
      <c r="F95" s="59" t="b">
        <v>0</v>
      </c>
      <c r="G95" s="59" t="s">
        <v>690</v>
      </c>
      <c r="H95" s="59"/>
      <c r="I95" s="59" t="s">
        <v>695</v>
      </c>
      <c r="J95" s="59"/>
      <c r="K95" s="59"/>
      <c r="L95" s="59"/>
      <c r="M95" s="59"/>
    </row>
    <row r="96" spans="1:13" ht="45" x14ac:dyDescent="0.25">
      <c r="A96" s="59" t="s">
        <v>696</v>
      </c>
      <c r="B96" s="59" t="e">
        <f>VLOOKUP(A96,#REF!,1,FALSE)</f>
        <v>#REF!</v>
      </c>
      <c r="C96" s="59" t="s">
        <v>244</v>
      </c>
      <c r="D96" s="65" t="s">
        <v>697</v>
      </c>
      <c r="E96" s="59" t="b">
        <v>0</v>
      </c>
      <c r="F96" s="64" t="b">
        <v>0</v>
      </c>
      <c r="G96" s="59" t="s">
        <v>690</v>
      </c>
      <c r="H96" s="59"/>
      <c r="I96" s="59" t="s">
        <v>698</v>
      </c>
      <c r="J96" s="59"/>
      <c r="K96" s="59"/>
      <c r="L96" s="59"/>
      <c r="M96" s="59"/>
    </row>
    <row r="97" spans="1:8" ht="45" x14ac:dyDescent="0.25">
      <c r="A97" s="59" t="s">
        <v>699</v>
      </c>
      <c r="B97" s="59" t="e">
        <f>VLOOKUP(A97,#REF!,1,FALSE)</f>
        <v>#REF!</v>
      </c>
      <c r="C97" s="59" t="e">
        <v>#N/A</v>
      </c>
      <c r="D97" s="65" t="s">
        <v>700</v>
      </c>
      <c r="E97" s="59" t="b">
        <v>0</v>
      </c>
      <c r="F97" s="64" t="b">
        <v>0</v>
      </c>
      <c r="G97" s="59" t="s">
        <v>690</v>
      </c>
      <c r="H97" s="59"/>
    </row>
    <row r="98" spans="1:8" ht="45" x14ac:dyDescent="0.25">
      <c r="A98" s="59" t="s">
        <v>701</v>
      </c>
      <c r="B98" s="59" t="e">
        <f>VLOOKUP(A98,#REF!,1,FALSE)</f>
        <v>#REF!</v>
      </c>
      <c r="C98" s="59" t="s">
        <v>258</v>
      </c>
      <c r="D98" s="65" t="s">
        <v>270</v>
      </c>
      <c r="E98" s="59" t="b">
        <v>0</v>
      </c>
      <c r="F98" s="64" t="b">
        <v>0</v>
      </c>
      <c r="G98" s="59" t="s">
        <v>690</v>
      </c>
      <c r="H98" s="59"/>
    </row>
    <row r="99" spans="1:8" ht="45" x14ac:dyDescent="0.25">
      <c r="A99" s="59" t="s">
        <v>702</v>
      </c>
      <c r="B99" s="59" t="e">
        <f>VLOOKUP(A99,#REF!,1,FALSE)</f>
        <v>#REF!</v>
      </c>
      <c r="C99" s="59" t="s">
        <v>273</v>
      </c>
      <c r="D99" s="65" t="s">
        <v>274</v>
      </c>
      <c r="E99" s="59" t="b">
        <v>0</v>
      </c>
      <c r="F99" s="64" t="b">
        <v>0</v>
      </c>
      <c r="G99" s="59" t="s">
        <v>690</v>
      </c>
      <c r="H99" s="59"/>
    </row>
    <row r="100" spans="1:8" ht="45" x14ac:dyDescent="0.25">
      <c r="A100" s="59" t="s">
        <v>703</v>
      </c>
      <c r="B100" s="59" t="e">
        <f>VLOOKUP(A100,#REF!,1,FALSE)</f>
        <v>#REF!</v>
      </c>
      <c r="C100" s="59" t="s">
        <v>258</v>
      </c>
      <c r="D100" s="65" t="s">
        <v>270</v>
      </c>
      <c r="E100" s="59" t="b">
        <v>0</v>
      </c>
      <c r="F100" s="64" t="b">
        <v>0</v>
      </c>
      <c r="G100" s="59" t="s">
        <v>690</v>
      </c>
      <c r="H100" s="59"/>
    </row>
    <row r="101" spans="1:8" ht="45" x14ac:dyDescent="0.25">
      <c r="A101" s="59" t="s">
        <v>704</v>
      </c>
      <c r="B101" s="59" t="e">
        <f>VLOOKUP(A101,#REF!,1,FALSE)</f>
        <v>#REF!</v>
      </c>
      <c r="C101" s="59" t="s">
        <v>273</v>
      </c>
      <c r="D101" s="65" t="s">
        <v>279</v>
      </c>
      <c r="E101" s="59" t="b">
        <v>0</v>
      </c>
      <c r="F101" s="64" t="b">
        <v>0</v>
      </c>
      <c r="G101" s="59" t="s">
        <v>690</v>
      </c>
      <c r="H101" s="59"/>
    </row>
    <row r="102" spans="1:8" ht="45" x14ac:dyDescent="0.25">
      <c r="A102" s="59" t="s">
        <v>705</v>
      </c>
      <c r="B102" s="59" t="e">
        <f>VLOOKUP(A102,#REF!,1,FALSE)</f>
        <v>#REF!</v>
      </c>
      <c r="C102" s="59" t="s">
        <v>258</v>
      </c>
      <c r="D102" s="65" t="s">
        <v>270</v>
      </c>
      <c r="E102" s="59" t="b">
        <v>0</v>
      </c>
      <c r="F102" s="64" t="b">
        <v>0</v>
      </c>
      <c r="G102" s="59" t="s">
        <v>690</v>
      </c>
      <c r="H102" s="59"/>
    </row>
    <row r="103" spans="1:8" ht="45" x14ac:dyDescent="0.25">
      <c r="A103" s="59" t="s">
        <v>706</v>
      </c>
      <c r="B103" s="59" t="e">
        <f>VLOOKUP(A103,#REF!,1,FALSE)</f>
        <v>#REF!</v>
      </c>
      <c r="C103" s="59" t="s">
        <v>273</v>
      </c>
      <c r="D103" s="65" t="s">
        <v>279</v>
      </c>
      <c r="E103" s="59" t="b">
        <v>0</v>
      </c>
      <c r="F103" s="64" t="b">
        <v>0</v>
      </c>
      <c r="G103" s="59" t="s">
        <v>690</v>
      </c>
      <c r="H103" s="59"/>
    </row>
    <row r="104" spans="1:8" ht="45" x14ac:dyDescent="0.25">
      <c r="A104" s="59" t="s">
        <v>707</v>
      </c>
      <c r="B104" s="59" t="e">
        <f>VLOOKUP(A104,#REF!,1,FALSE)</f>
        <v>#REF!</v>
      </c>
      <c r="C104" s="59" t="s">
        <v>258</v>
      </c>
      <c r="D104" s="65" t="s">
        <v>270</v>
      </c>
      <c r="E104" s="59" t="b">
        <v>0</v>
      </c>
      <c r="F104" s="64" t="b">
        <v>0</v>
      </c>
      <c r="G104" s="59" t="s">
        <v>690</v>
      </c>
      <c r="H104" s="59"/>
    </row>
    <row r="105" spans="1:8" ht="45" x14ac:dyDescent="0.25">
      <c r="A105" s="59" t="s">
        <v>708</v>
      </c>
      <c r="B105" s="59" t="e">
        <f>VLOOKUP(A105,#REF!,1,FALSE)</f>
        <v>#REF!</v>
      </c>
      <c r="C105" s="59" t="s">
        <v>273</v>
      </c>
      <c r="D105" s="65" t="s">
        <v>279</v>
      </c>
      <c r="E105" s="59" t="b">
        <v>0</v>
      </c>
      <c r="F105" s="64" t="b">
        <v>0</v>
      </c>
      <c r="G105" s="59" t="s">
        <v>690</v>
      </c>
      <c r="H105" s="59"/>
    </row>
    <row r="106" spans="1:8" ht="45" x14ac:dyDescent="0.25">
      <c r="A106" s="59" t="s">
        <v>709</v>
      </c>
      <c r="B106" s="59" t="e">
        <f>VLOOKUP(A106,#REF!,1,FALSE)</f>
        <v>#REF!</v>
      </c>
      <c r="C106" s="59" t="s">
        <v>258</v>
      </c>
      <c r="D106" s="65" t="s">
        <v>270</v>
      </c>
      <c r="E106" s="59" t="b">
        <v>0</v>
      </c>
      <c r="F106" s="64" t="b">
        <v>0</v>
      </c>
      <c r="G106" s="59" t="s">
        <v>690</v>
      </c>
      <c r="H106" s="59"/>
    </row>
    <row r="107" spans="1:8" ht="45" x14ac:dyDescent="0.25">
      <c r="A107" s="59" t="s">
        <v>710</v>
      </c>
      <c r="B107" s="59" t="e">
        <f>VLOOKUP(A107,#REF!,1,FALSE)</f>
        <v>#REF!</v>
      </c>
      <c r="C107" s="59" t="s">
        <v>273</v>
      </c>
      <c r="D107" s="65" t="s">
        <v>279</v>
      </c>
      <c r="E107" s="59" t="b">
        <v>0</v>
      </c>
      <c r="F107" s="64" t="b">
        <v>0</v>
      </c>
      <c r="G107" s="59" t="s">
        <v>690</v>
      </c>
      <c r="H107" s="59"/>
    </row>
    <row r="108" spans="1:8" ht="45" x14ac:dyDescent="0.25">
      <c r="A108" s="59" t="s">
        <v>315</v>
      </c>
      <c r="B108" s="59" t="e">
        <f>VLOOKUP(A108,#REF!,1,FALSE)</f>
        <v>#REF!</v>
      </c>
      <c r="C108" s="59" t="s">
        <v>244</v>
      </c>
      <c r="D108" s="65" t="s">
        <v>711</v>
      </c>
      <c r="E108" s="59" t="b">
        <v>0</v>
      </c>
      <c r="F108" s="64" t="b">
        <v>0</v>
      </c>
      <c r="G108" s="59" t="s">
        <v>690</v>
      </c>
      <c r="H108" s="59" t="s">
        <v>712</v>
      </c>
    </row>
    <row r="109" spans="1:8" x14ac:dyDescent="0.25">
      <c r="A109" s="66" t="s">
        <v>713</v>
      </c>
      <c r="B109" s="59" t="e">
        <f>VLOOKUP(A109,#REF!,1,FALSE)</f>
        <v>#REF!</v>
      </c>
      <c r="C109" s="59" t="s">
        <v>201</v>
      </c>
      <c r="D109" s="65" t="s">
        <v>714</v>
      </c>
      <c r="E109" s="59" t="b">
        <v>0</v>
      </c>
      <c r="F109" s="59" t="b">
        <v>0</v>
      </c>
      <c r="G109" s="59" t="s">
        <v>519</v>
      </c>
      <c r="H109" s="59" t="s">
        <v>644</v>
      </c>
    </row>
    <row r="110" spans="1:8" x14ac:dyDescent="0.25">
      <c r="A110" s="66" t="s">
        <v>320</v>
      </c>
      <c r="B110" s="59" t="e">
        <f>VLOOKUP(A110,#REF!,1,FALSE)</f>
        <v>#REF!</v>
      </c>
      <c r="C110" s="59" t="s">
        <v>258</v>
      </c>
      <c r="D110" s="65" t="s">
        <v>319</v>
      </c>
      <c r="E110" s="59" t="b">
        <v>0</v>
      </c>
      <c r="F110" s="59" t="b">
        <v>0</v>
      </c>
      <c r="G110" s="59" t="s">
        <v>519</v>
      </c>
      <c r="H110" s="59" t="s">
        <v>644</v>
      </c>
    </row>
    <row r="111" spans="1:8" x14ac:dyDescent="0.25">
      <c r="A111" s="66" t="s">
        <v>323</v>
      </c>
      <c r="B111" s="59" t="e">
        <f>VLOOKUP(A111,#REF!,1,FALSE)</f>
        <v>#REF!</v>
      </c>
      <c r="C111" s="59" t="s">
        <v>258</v>
      </c>
      <c r="D111" s="65" t="s">
        <v>322</v>
      </c>
      <c r="E111" s="59" t="b">
        <v>0</v>
      </c>
      <c r="F111" s="59" t="b">
        <v>0</v>
      </c>
      <c r="G111" s="59" t="s">
        <v>519</v>
      </c>
      <c r="H111" s="59" t="s">
        <v>644</v>
      </c>
    </row>
    <row r="112" spans="1:8" ht="75" x14ac:dyDescent="0.25">
      <c r="A112" s="59" t="s">
        <v>715</v>
      </c>
      <c r="B112" s="59" t="e">
        <f>VLOOKUP(A112,#REF!,1,FALSE)</f>
        <v>#REF!</v>
      </c>
      <c r="C112" s="59" t="s">
        <v>327</v>
      </c>
      <c r="D112" s="65" t="s">
        <v>716</v>
      </c>
      <c r="E112" s="59" t="b">
        <v>0</v>
      </c>
      <c r="F112" s="64" t="b">
        <v>0</v>
      </c>
      <c r="G112" s="59" t="s">
        <v>690</v>
      </c>
      <c r="H112" s="59" t="s">
        <v>717</v>
      </c>
    </row>
    <row r="113" spans="1:8" ht="45" x14ac:dyDescent="0.25">
      <c r="A113" s="59" t="s">
        <v>331</v>
      </c>
      <c r="B113" s="59" t="e">
        <f>VLOOKUP(A113,#REF!,1,FALSE)</f>
        <v>#REF!</v>
      </c>
      <c r="C113" s="59" t="s">
        <v>327</v>
      </c>
      <c r="D113" s="65" t="s">
        <v>332</v>
      </c>
      <c r="E113" s="59" t="b">
        <v>0</v>
      </c>
      <c r="F113" s="64" t="b">
        <v>0</v>
      </c>
      <c r="G113" s="59" t="s">
        <v>690</v>
      </c>
      <c r="H113" s="59" t="s">
        <v>717</v>
      </c>
    </row>
    <row r="114" spans="1:8" ht="45" x14ac:dyDescent="0.25">
      <c r="A114" s="59" t="s">
        <v>340</v>
      </c>
      <c r="B114" s="59" t="e">
        <f>VLOOKUP(A114,#REF!,1,FALSE)</f>
        <v>#REF!</v>
      </c>
      <c r="C114" s="59" t="s">
        <v>327</v>
      </c>
      <c r="D114" s="65" t="s">
        <v>341</v>
      </c>
      <c r="E114" s="59" t="b">
        <v>0</v>
      </c>
      <c r="F114" s="64" t="b">
        <v>0</v>
      </c>
      <c r="G114" s="59" t="s">
        <v>690</v>
      </c>
      <c r="H114" s="59" t="s">
        <v>717</v>
      </c>
    </row>
    <row r="115" spans="1:8" ht="45" x14ac:dyDescent="0.25">
      <c r="A115" s="59" t="s">
        <v>345</v>
      </c>
      <c r="B115" s="59" t="e">
        <f>VLOOKUP(A115,#REF!,1,FALSE)</f>
        <v>#REF!</v>
      </c>
      <c r="C115" s="59" t="s">
        <v>327</v>
      </c>
      <c r="D115" s="65" t="s">
        <v>346</v>
      </c>
      <c r="E115" s="59" t="b">
        <v>0</v>
      </c>
      <c r="F115" s="64" t="b">
        <v>0</v>
      </c>
      <c r="G115" s="59" t="s">
        <v>690</v>
      </c>
      <c r="H115" s="59" t="s">
        <v>717</v>
      </c>
    </row>
    <row r="116" spans="1:8" x14ac:dyDescent="0.25">
      <c r="A116" s="66" t="s">
        <v>353</v>
      </c>
      <c r="B116" s="59" t="e">
        <f>VLOOKUP(A116,#REF!,1,FALSE)</f>
        <v>#REF!</v>
      </c>
      <c r="C116" s="59" t="s">
        <v>258</v>
      </c>
      <c r="D116" s="65" t="s">
        <v>352</v>
      </c>
      <c r="E116" s="59" t="b">
        <v>0</v>
      </c>
      <c r="F116" s="59" t="b">
        <v>0</v>
      </c>
      <c r="G116" s="59" t="s">
        <v>519</v>
      </c>
      <c r="H116" s="59"/>
    </row>
    <row r="117" spans="1:8" ht="30" x14ac:dyDescent="0.25">
      <c r="A117" s="66" t="s">
        <v>718</v>
      </c>
      <c r="B117" s="59" t="e">
        <f>VLOOKUP(A117,#REF!,1,FALSE)</f>
        <v>#REF!</v>
      </c>
      <c r="C117" s="59" t="s">
        <v>258</v>
      </c>
      <c r="D117" s="65" t="s">
        <v>719</v>
      </c>
      <c r="E117" s="59" t="b">
        <v>0</v>
      </c>
      <c r="F117" s="59" t="b">
        <v>0</v>
      </c>
      <c r="G117" s="59" t="s">
        <v>519</v>
      </c>
      <c r="H117" s="59"/>
    </row>
    <row r="118" spans="1:8" ht="30" x14ac:dyDescent="0.25">
      <c r="A118" s="66" t="s">
        <v>377</v>
      </c>
      <c r="B118" s="59" t="e">
        <f>VLOOKUP(A118,#REF!,1,FALSE)</f>
        <v>#REF!</v>
      </c>
      <c r="C118" s="59" t="s">
        <v>258</v>
      </c>
      <c r="D118" s="65" t="s">
        <v>375</v>
      </c>
      <c r="E118" s="59" t="b">
        <v>0</v>
      </c>
      <c r="F118" s="59" t="b">
        <v>0</v>
      </c>
      <c r="G118" s="59" t="s">
        <v>519</v>
      </c>
      <c r="H118" s="59"/>
    </row>
    <row r="119" spans="1:8" ht="30" x14ac:dyDescent="0.25">
      <c r="A119" s="66" t="s">
        <v>380</v>
      </c>
      <c r="B119" s="59" t="e">
        <f>VLOOKUP(A119,#REF!,1,FALSE)</f>
        <v>#REF!</v>
      </c>
      <c r="C119" s="59" t="s">
        <v>258</v>
      </c>
      <c r="D119" s="65" t="s">
        <v>720</v>
      </c>
      <c r="E119" s="59" t="b">
        <v>0</v>
      </c>
      <c r="F119" s="59" t="b">
        <v>0</v>
      </c>
      <c r="G119" s="59" t="s">
        <v>519</v>
      </c>
      <c r="H119" s="59"/>
    </row>
    <row r="120" spans="1:8" ht="60" x14ac:dyDescent="0.25">
      <c r="A120" s="66" t="s">
        <v>389</v>
      </c>
      <c r="B120" s="59" t="e">
        <f>VLOOKUP(A120,#REF!,1,FALSE)</f>
        <v>#REF!</v>
      </c>
      <c r="C120" s="59" t="s">
        <v>196</v>
      </c>
      <c r="D120" s="65" t="s">
        <v>721</v>
      </c>
      <c r="E120" s="59" t="b">
        <v>0</v>
      </c>
      <c r="F120" s="59" t="b">
        <v>0</v>
      </c>
      <c r="G120" s="59" t="s">
        <v>519</v>
      </c>
      <c r="H120" s="59"/>
    </row>
    <row r="121" spans="1:8" ht="75" x14ac:dyDescent="0.25">
      <c r="A121" s="66" t="s">
        <v>722</v>
      </c>
      <c r="B121" s="59" t="e">
        <f>VLOOKUP(A121,#REF!,1,FALSE)</f>
        <v>#REF!</v>
      </c>
      <c r="C121" s="59" t="s">
        <v>258</v>
      </c>
      <c r="D121" s="65" t="s">
        <v>410</v>
      </c>
      <c r="E121" s="59" t="b">
        <v>0</v>
      </c>
      <c r="F121" s="59" t="b">
        <v>0</v>
      </c>
      <c r="G121" s="59" t="s">
        <v>519</v>
      </c>
      <c r="H121" s="59"/>
    </row>
    <row r="122" spans="1:8" x14ac:dyDescent="0.25">
      <c r="A122" s="66" t="s">
        <v>723</v>
      </c>
      <c r="B122" s="59" t="e">
        <f>VLOOKUP(A122,#REF!,1,FALSE)</f>
        <v>#REF!</v>
      </c>
      <c r="C122" s="59" t="s">
        <v>258</v>
      </c>
      <c r="D122" s="65" t="s">
        <v>724</v>
      </c>
      <c r="E122" s="59" t="b">
        <v>0</v>
      </c>
      <c r="F122" s="59" t="b">
        <v>0</v>
      </c>
      <c r="G122" s="59" t="s">
        <v>519</v>
      </c>
      <c r="H122" s="59"/>
    </row>
    <row r="123" spans="1:8" ht="30" x14ac:dyDescent="0.25">
      <c r="A123" s="66" t="s">
        <v>725</v>
      </c>
      <c r="B123" s="59" t="e">
        <f>VLOOKUP(A123,#REF!,1,FALSE)</f>
        <v>#REF!</v>
      </c>
      <c r="C123" s="59" t="s">
        <v>258</v>
      </c>
      <c r="D123" s="65" t="s">
        <v>726</v>
      </c>
      <c r="E123" s="59" t="b">
        <v>0</v>
      </c>
      <c r="F123" s="59" t="b">
        <v>0</v>
      </c>
      <c r="G123" s="59" t="s">
        <v>519</v>
      </c>
      <c r="H123" s="59"/>
    </row>
    <row r="124" spans="1:8" ht="30" x14ac:dyDescent="0.25">
      <c r="A124" s="66" t="s">
        <v>727</v>
      </c>
      <c r="B124" s="59" t="e">
        <f>VLOOKUP(A124,#REF!,1,FALSE)</f>
        <v>#REF!</v>
      </c>
      <c r="C124" s="59" t="s">
        <v>258</v>
      </c>
      <c r="D124" s="65" t="s">
        <v>728</v>
      </c>
      <c r="E124" s="59" t="b">
        <v>0</v>
      </c>
      <c r="F124" s="59" t="b">
        <v>0</v>
      </c>
      <c r="G124" s="59" t="s">
        <v>519</v>
      </c>
      <c r="H124" s="59"/>
    </row>
    <row r="125" spans="1:8" x14ac:dyDescent="0.25">
      <c r="A125" s="66" t="s">
        <v>729</v>
      </c>
      <c r="B125" s="59" t="e">
        <f>VLOOKUP(A125,#REF!,1,FALSE)</f>
        <v>#REF!</v>
      </c>
      <c r="C125" s="59" t="s">
        <v>258</v>
      </c>
      <c r="D125" s="65" t="s">
        <v>730</v>
      </c>
      <c r="E125" s="59" t="b">
        <v>0</v>
      </c>
      <c r="F125" s="59" t="b">
        <v>0</v>
      </c>
      <c r="G125" s="59" t="s">
        <v>519</v>
      </c>
      <c r="H125" s="59"/>
    </row>
    <row r="126" spans="1:8" ht="30" x14ac:dyDescent="0.25">
      <c r="A126" s="66" t="s">
        <v>731</v>
      </c>
      <c r="B126" s="59" t="e">
        <f>VLOOKUP(A126,#REF!,1,FALSE)</f>
        <v>#REF!</v>
      </c>
      <c r="C126" s="59" t="s">
        <v>258</v>
      </c>
      <c r="D126" s="65" t="s">
        <v>732</v>
      </c>
      <c r="E126" s="59" t="b">
        <v>0</v>
      </c>
      <c r="F126" s="59" t="b">
        <v>0</v>
      </c>
      <c r="G126" s="59" t="s">
        <v>519</v>
      </c>
      <c r="H126" s="59"/>
    </row>
    <row r="127" spans="1:8" ht="75" x14ac:dyDescent="0.25">
      <c r="A127" s="66" t="s">
        <v>426</v>
      </c>
      <c r="B127" s="59" t="e">
        <f>VLOOKUP(A127,#REF!,1,FALSE)</f>
        <v>#REF!</v>
      </c>
      <c r="C127" s="59" t="s">
        <v>258</v>
      </c>
      <c r="D127" s="65" t="s">
        <v>733</v>
      </c>
      <c r="E127" s="59" t="b">
        <v>0</v>
      </c>
      <c r="F127" s="59" t="b">
        <v>0</v>
      </c>
      <c r="G127" s="59" t="s">
        <v>519</v>
      </c>
      <c r="H127" s="59"/>
    </row>
    <row r="128" spans="1:8" ht="75" x14ac:dyDescent="0.25">
      <c r="A128" s="66" t="s">
        <v>428</v>
      </c>
      <c r="B128" s="59" t="e">
        <f>VLOOKUP(A128,#REF!,1,FALSE)</f>
        <v>#REF!</v>
      </c>
      <c r="C128" s="59" t="s">
        <v>258</v>
      </c>
      <c r="D128" s="65" t="s">
        <v>734</v>
      </c>
      <c r="E128" s="59" t="b">
        <v>0</v>
      </c>
      <c r="F128" s="59" t="b">
        <v>0</v>
      </c>
      <c r="G128" s="59" t="s">
        <v>519</v>
      </c>
      <c r="H128" s="59"/>
    </row>
    <row r="129" spans="1:7" ht="45" x14ac:dyDescent="0.25">
      <c r="A129" s="66" t="s">
        <v>735</v>
      </c>
      <c r="B129" s="59" t="e">
        <f>VLOOKUP(A129,#REF!,1,FALSE)</f>
        <v>#REF!</v>
      </c>
      <c r="C129" s="59" t="s">
        <v>258</v>
      </c>
      <c r="D129" s="65" t="s">
        <v>736</v>
      </c>
      <c r="E129" s="59" t="b">
        <v>0</v>
      </c>
      <c r="F129" s="59" t="b">
        <v>0</v>
      </c>
      <c r="G129" s="59" t="s">
        <v>519</v>
      </c>
    </row>
    <row r="130" spans="1:7" ht="75" x14ac:dyDescent="0.25">
      <c r="A130" s="66" t="s">
        <v>432</v>
      </c>
      <c r="B130" s="59" t="e">
        <f>VLOOKUP(A130,#REF!,1,FALSE)</f>
        <v>#REF!</v>
      </c>
      <c r="C130" s="59" t="s">
        <v>258</v>
      </c>
      <c r="D130" s="65" t="s">
        <v>737</v>
      </c>
      <c r="E130" s="59" t="b">
        <v>0</v>
      </c>
      <c r="F130" s="59" t="b">
        <v>0</v>
      </c>
      <c r="G130" s="59" t="s">
        <v>519</v>
      </c>
    </row>
  </sheetData>
  <autoFilter ref="A1:R130" xr:uid="{37741351-EBC7-487B-A6C6-9502295147BF}"/>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84AE-F2FC-4F48-9D97-D56ECC8B7C37}">
  <dimension ref="A1:W77"/>
  <sheetViews>
    <sheetView workbookViewId="0">
      <selection activeCell="A7" sqref="A7"/>
    </sheetView>
  </sheetViews>
  <sheetFormatPr defaultRowHeight="14.25" x14ac:dyDescent="0.2"/>
  <cols>
    <col min="1" max="1" width="47.125" bestFit="1" customWidth="1"/>
    <col min="2" max="2" width="4.25" bestFit="1" customWidth="1"/>
    <col min="3" max="3" width="45.875" bestFit="1" customWidth="1"/>
    <col min="4" max="4" width="11.375" bestFit="1" customWidth="1"/>
    <col min="5" max="5" width="244.875" bestFit="1" customWidth="1"/>
    <col min="6" max="6" width="74.75" bestFit="1" customWidth="1"/>
    <col min="7" max="7" width="10.75" bestFit="1" customWidth="1"/>
    <col min="8" max="8" width="7.625" bestFit="1" customWidth="1"/>
    <col min="9" max="9" width="45.375" bestFit="1" customWidth="1"/>
    <col min="10" max="10" width="25.125" bestFit="1" customWidth="1"/>
    <col min="11" max="11" width="24.375" bestFit="1" customWidth="1"/>
    <col min="12" max="12" width="30.625" bestFit="1" customWidth="1"/>
    <col min="13" max="13" width="33" bestFit="1" customWidth="1"/>
    <col min="14" max="14" width="14.25" bestFit="1" customWidth="1"/>
    <col min="15" max="15" width="12.875" bestFit="1" customWidth="1"/>
    <col min="16" max="16" width="11.125" bestFit="1" customWidth="1"/>
    <col min="17" max="17" width="14.625" bestFit="1" customWidth="1"/>
    <col min="18" max="18" width="11.625" bestFit="1" customWidth="1"/>
    <col min="19" max="19" width="13" bestFit="1" customWidth="1"/>
    <col min="20" max="20" width="14.375" bestFit="1" customWidth="1"/>
    <col min="21" max="21" width="7.125" bestFit="1" customWidth="1"/>
    <col min="22" max="22" width="11.125" bestFit="1" customWidth="1"/>
    <col min="23" max="23" width="4.875" bestFit="1" customWidth="1"/>
  </cols>
  <sheetData>
    <row r="1" spans="1:23" ht="15" x14ac:dyDescent="0.25">
      <c r="A1" s="34" t="s">
        <v>175</v>
      </c>
      <c r="B1" s="35" t="s">
        <v>738</v>
      </c>
      <c r="C1" s="34" t="s">
        <v>176</v>
      </c>
      <c r="D1" s="34" t="s">
        <v>177</v>
      </c>
      <c r="E1" s="34" t="s">
        <v>178</v>
      </c>
      <c r="F1" s="34" t="s">
        <v>739</v>
      </c>
      <c r="G1" s="34" t="s">
        <v>740</v>
      </c>
      <c r="H1" s="34" t="s">
        <v>179</v>
      </c>
      <c r="I1" s="34" t="s">
        <v>741</v>
      </c>
      <c r="J1" s="34" t="s">
        <v>742</v>
      </c>
      <c r="K1" s="34" t="s">
        <v>743</v>
      </c>
      <c r="L1" s="34" t="s">
        <v>744</v>
      </c>
      <c r="M1" s="34" t="s">
        <v>745</v>
      </c>
      <c r="N1" s="36" t="s">
        <v>746</v>
      </c>
      <c r="O1" s="44" t="s">
        <v>181</v>
      </c>
      <c r="P1" s="44" t="s">
        <v>182</v>
      </c>
      <c r="Q1" s="44" t="s">
        <v>183</v>
      </c>
      <c r="R1" s="44" t="s">
        <v>184</v>
      </c>
      <c r="S1" s="44" t="s">
        <v>185</v>
      </c>
      <c r="T1" s="44" t="s">
        <v>186</v>
      </c>
      <c r="U1" s="44" t="s">
        <v>187</v>
      </c>
      <c r="V1" s="44" t="s">
        <v>188</v>
      </c>
      <c r="W1" s="44" t="s">
        <v>189</v>
      </c>
    </row>
    <row r="2" spans="1:23" ht="15" x14ac:dyDescent="0.25">
      <c r="A2" s="42" t="s">
        <v>747</v>
      </c>
      <c r="B2" s="40"/>
      <c r="C2" s="41" t="s">
        <v>748</v>
      </c>
      <c r="D2" s="40" t="s">
        <v>201</v>
      </c>
      <c r="E2" s="41" t="s">
        <v>747</v>
      </c>
      <c r="F2" s="38"/>
      <c r="G2" s="39"/>
      <c r="H2" s="38" t="b">
        <v>0</v>
      </c>
      <c r="I2" s="39"/>
      <c r="J2" s="38"/>
      <c r="K2" s="39"/>
      <c r="L2" s="38"/>
      <c r="M2" s="39"/>
      <c r="N2" s="38"/>
      <c r="O2" s="33"/>
      <c r="P2" s="33"/>
      <c r="Q2" s="33"/>
      <c r="R2" s="33"/>
      <c r="S2" s="33"/>
      <c r="T2" s="33"/>
      <c r="U2" s="33"/>
      <c r="V2" s="33"/>
      <c r="W2" s="33"/>
    </row>
    <row r="3" spans="1:23" ht="15" x14ac:dyDescent="0.25">
      <c r="A3" s="42" t="s">
        <v>749</v>
      </c>
      <c r="B3" s="40"/>
      <c r="C3" s="41" t="s">
        <v>521</v>
      </c>
      <c r="D3" s="40" t="s">
        <v>201</v>
      </c>
      <c r="E3" s="41" t="s">
        <v>749</v>
      </c>
      <c r="F3" s="38"/>
      <c r="G3" s="39"/>
      <c r="H3" s="38" t="b">
        <v>0</v>
      </c>
      <c r="I3" s="39"/>
      <c r="J3" s="38"/>
      <c r="K3" s="39"/>
      <c r="L3" s="38"/>
      <c r="M3" s="39"/>
      <c r="N3" s="38"/>
      <c r="O3" s="33"/>
      <c r="P3" s="33"/>
      <c r="Q3" s="33"/>
      <c r="R3" s="33"/>
      <c r="S3" s="33"/>
      <c r="T3" s="33"/>
      <c r="U3" s="33"/>
      <c r="V3" s="33"/>
      <c r="W3" s="33"/>
    </row>
    <row r="4" spans="1:23" ht="15" x14ac:dyDescent="0.25">
      <c r="A4" s="42" t="s">
        <v>750</v>
      </c>
      <c r="B4" s="41"/>
      <c r="C4" s="41" t="s">
        <v>641</v>
      </c>
      <c r="D4" s="41" t="s">
        <v>244</v>
      </c>
      <c r="E4" s="41" t="s">
        <v>751</v>
      </c>
      <c r="F4" s="39"/>
      <c r="G4" s="39"/>
      <c r="H4" s="39" t="b">
        <v>0</v>
      </c>
      <c r="I4" s="39"/>
      <c r="J4" s="39"/>
      <c r="K4" s="39"/>
      <c r="L4" s="39"/>
      <c r="M4" s="39"/>
      <c r="N4" s="39"/>
      <c r="O4" s="33"/>
      <c r="P4" s="33"/>
      <c r="Q4" s="33"/>
      <c r="R4" s="33"/>
      <c r="S4" s="33"/>
      <c r="T4" s="33"/>
      <c r="U4" s="33"/>
      <c r="V4" s="33"/>
      <c r="W4" s="33"/>
    </row>
    <row r="5" spans="1:23" ht="15" x14ac:dyDescent="0.25">
      <c r="A5" s="42" t="s">
        <v>752</v>
      </c>
      <c r="B5" s="41"/>
      <c r="C5" s="41" t="s">
        <v>753</v>
      </c>
      <c r="D5" s="41" t="s">
        <v>201</v>
      </c>
      <c r="E5" s="41" t="s">
        <v>752</v>
      </c>
      <c r="F5" s="39"/>
      <c r="G5" s="39"/>
      <c r="H5" s="39" t="b">
        <v>0</v>
      </c>
      <c r="I5" s="39"/>
      <c r="J5" s="39"/>
      <c r="K5" s="39"/>
      <c r="L5" s="39"/>
      <c r="M5" s="39"/>
      <c r="N5" s="39"/>
      <c r="O5" s="33"/>
      <c r="P5" s="33"/>
      <c r="Q5" s="33"/>
      <c r="R5" s="33"/>
      <c r="S5" s="33"/>
      <c r="T5" s="33"/>
      <c r="U5" s="33"/>
      <c r="V5" s="33"/>
      <c r="W5" s="33"/>
    </row>
    <row r="6" spans="1:23" ht="15" x14ac:dyDescent="0.25">
      <c r="A6" s="42" t="s">
        <v>754</v>
      </c>
      <c r="B6" s="40"/>
      <c r="C6" s="41" t="s">
        <v>755</v>
      </c>
      <c r="D6" s="40" t="s">
        <v>201</v>
      </c>
      <c r="E6" s="41" t="s">
        <v>754</v>
      </c>
      <c r="F6" s="38"/>
      <c r="G6" s="39"/>
      <c r="H6" s="38" t="b">
        <v>0</v>
      </c>
      <c r="I6" s="39"/>
      <c r="J6" s="38"/>
      <c r="K6" s="39"/>
      <c r="L6" s="38"/>
      <c r="M6" s="39"/>
      <c r="N6" s="38"/>
      <c r="O6" s="33"/>
      <c r="P6" s="33"/>
      <c r="Q6" s="33"/>
      <c r="R6" s="33"/>
      <c r="S6" s="33"/>
      <c r="T6" s="33"/>
      <c r="U6" s="33"/>
      <c r="V6" s="33"/>
      <c r="W6" s="33"/>
    </row>
    <row r="7" spans="1:23" ht="15" x14ac:dyDescent="0.25">
      <c r="A7" s="42" t="s">
        <v>756</v>
      </c>
      <c r="B7" s="40"/>
      <c r="C7" s="41" t="s">
        <v>757</v>
      </c>
      <c r="D7" s="40" t="s">
        <v>201</v>
      </c>
      <c r="E7" s="41" t="s">
        <v>756</v>
      </c>
      <c r="F7" s="38"/>
      <c r="G7" s="39"/>
      <c r="H7" s="38" t="b">
        <v>0</v>
      </c>
      <c r="I7" s="39"/>
      <c r="J7" s="38"/>
      <c r="K7" s="39"/>
      <c r="L7" s="38"/>
      <c r="M7" s="39"/>
      <c r="N7" s="38"/>
      <c r="O7" s="33"/>
      <c r="P7" s="33"/>
      <c r="Q7" s="33"/>
      <c r="R7" s="33"/>
      <c r="S7" s="33"/>
      <c r="T7" s="33"/>
      <c r="U7" s="33"/>
      <c r="V7" s="33"/>
      <c r="W7" s="33"/>
    </row>
    <row r="8" spans="1:23" ht="15" x14ac:dyDescent="0.25">
      <c r="A8" s="42" t="s">
        <v>758</v>
      </c>
      <c r="B8" s="41"/>
      <c r="C8" s="41" t="s">
        <v>759</v>
      </c>
      <c r="D8" s="41" t="s">
        <v>201</v>
      </c>
      <c r="E8" s="41" t="s">
        <v>758</v>
      </c>
      <c r="F8" s="39"/>
      <c r="G8" s="39"/>
      <c r="H8" s="39" t="b">
        <v>0</v>
      </c>
      <c r="I8" s="39"/>
      <c r="J8" s="39"/>
      <c r="K8" s="39"/>
      <c r="L8" s="39"/>
      <c r="M8" s="39"/>
      <c r="N8" s="39"/>
      <c r="O8" s="33"/>
      <c r="P8" s="33"/>
      <c r="Q8" s="33"/>
      <c r="R8" s="33"/>
      <c r="S8" s="33"/>
      <c r="T8" s="33"/>
      <c r="U8" s="33"/>
      <c r="V8" s="33"/>
      <c r="W8" s="33"/>
    </row>
    <row r="9" spans="1:23" ht="15" x14ac:dyDescent="0.25">
      <c r="A9" s="42" t="s">
        <v>760</v>
      </c>
      <c r="B9" s="40"/>
      <c r="C9" s="41" t="s">
        <v>761</v>
      </c>
      <c r="D9" s="40" t="s">
        <v>201</v>
      </c>
      <c r="E9" s="41" t="s">
        <v>760</v>
      </c>
      <c r="F9" s="38"/>
      <c r="G9" s="39"/>
      <c r="H9" s="38" t="b">
        <v>0</v>
      </c>
      <c r="I9" s="39"/>
      <c r="J9" s="38"/>
      <c r="K9" s="39"/>
      <c r="L9" s="38"/>
      <c r="M9" s="39"/>
      <c r="N9" s="38"/>
      <c r="O9" s="33"/>
      <c r="P9" s="33"/>
      <c r="Q9" s="33"/>
      <c r="R9" s="33"/>
      <c r="S9" s="33"/>
      <c r="T9" s="33"/>
      <c r="U9" s="33"/>
      <c r="V9" s="33"/>
      <c r="W9" s="33"/>
    </row>
    <row r="10" spans="1:23" ht="15" x14ac:dyDescent="0.25">
      <c r="A10" s="42" t="s">
        <v>762</v>
      </c>
      <c r="B10" s="41"/>
      <c r="C10" s="41" t="s">
        <v>763</v>
      </c>
      <c r="D10" s="41" t="s">
        <v>201</v>
      </c>
      <c r="E10" s="41" t="s">
        <v>762</v>
      </c>
      <c r="F10" s="39"/>
      <c r="G10" s="39"/>
      <c r="H10" s="39" t="b">
        <v>0</v>
      </c>
      <c r="I10" s="39"/>
      <c r="J10" s="39"/>
      <c r="K10" s="39"/>
      <c r="L10" s="39"/>
      <c r="M10" s="39"/>
      <c r="N10" s="39"/>
      <c r="O10" s="33"/>
      <c r="P10" s="33"/>
      <c r="Q10" s="33"/>
      <c r="R10" s="33"/>
      <c r="S10" s="33"/>
      <c r="T10" s="33"/>
      <c r="U10" s="33"/>
      <c r="V10" s="33"/>
      <c r="W10" s="33"/>
    </row>
    <row r="11" spans="1:23" ht="15" x14ac:dyDescent="0.25">
      <c r="A11" s="42" t="s">
        <v>764</v>
      </c>
      <c r="B11" s="41"/>
      <c r="C11" s="41" t="s">
        <v>765</v>
      </c>
      <c r="D11" s="41" t="s">
        <v>201</v>
      </c>
      <c r="E11" s="41" t="s">
        <v>764</v>
      </c>
      <c r="F11" s="39"/>
      <c r="G11" s="39"/>
      <c r="H11" s="39" t="b">
        <v>0</v>
      </c>
      <c r="I11" s="39"/>
      <c r="J11" s="39"/>
      <c r="K11" s="39"/>
      <c r="L11" s="39"/>
      <c r="M11" s="39"/>
      <c r="N11" s="39"/>
      <c r="O11" s="33"/>
      <c r="P11" s="33"/>
      <c r="Q11" s="33"/>
      <c r="R11" s="33"/>
      <c r="S11" s="33"/>
      <c r="T11" s="33"/>
      <c r="U11" s="33"/>
      <c r="V11" s="33"/>
      <c r="W11" s="33"/>
    </row>
    <row r="12" spans="1:23" ht="15" x14ac:dyDescent="0.25">
      <c r="A12" s="42" t="s">
        <v>766</v>
      </c>
      <c r="B12" s="40"/>
      <c r="C12" s="41" t="s">
        <v>767</v>
      </c>
      <c r="D12" s="40" t="s">
        <v>201</v>
      </c>
      <c r="E12" s="41" t="s">
        <v>766</v>
      </c>
      <c r="F12" s="38"/>
      <c r="G12" s="39"/>
      <c r="H12" s="38" t="b">
        <v>0</v>
      </c>
      <c r="I12" s="39"/>
      <c r="J12" s="38"/>
      <c r="K12" s="39"/>
      <c r="L12" s="38"/>
      <c r="M12" s="39"/>
      <c r="N12" s="38"/>
      <c r="O12" s="33"/>
      <c r="P12" s="33"/>
      <c r="Q12" s="33"/>
      <c r="R12" s="33"/>
      <c r="S12" s="33"/>
      <c r="T12" s="33"/>
      <c r="U12" s="33"/>
      <c r="V12" s="33"/>
      <c r="W12" s="33"/>
    </row>
    <row r="13" spans="1:23" ht="15" x14ac:dyDescent="0.25">
      <c r="A13" s="42" t="s">
        <v>768</v>
      </c>
      <c r="B13" s="40"/>
      <c r="C13" s="41" t="s">
        <v>769</v>
      </c>
      <c r="D13" s="40" t="s">
        <v>201</v>
      </c>
      <c r="E13" s="41" t="s">
        <v>768</v>
      </c>
      <c r="F13" s="38"/>
      <c r="G13" s="39"/>
      <c r="H13" s="38" t="b">
        <v>0</v>
      </c>
      <c r="I13" s="39"/>
      <c r="J13" s="38"/>
      <c r="K13" s="39"/>
      <c r="L13" s="38"/>
      <c r="M13" s="39"/>
      <c r="N13" s="38"/>
      <c r="O13" s="33"/>
      <c r="P13" s="33"/>
      <c r="Q13" s="33"/>
      <c r="R13" s="33"/>
      <c r="S13" s="33"/>
      <c r="T13" s="33"/>
      <c r="U13" s="33"/>
      <c r="V13" s="33"/>
      <c r="W13" s="33"/>
    </row>
    <row r="14" spans="1:23" ht="15" x14ac:dyDescent="0.25">
      <c r="A14" s="42" t="s">
        <v>770</v>
      </c>
      <c r="B14" s="41"/>
      <c r="C14" s="41" t="s">
        <v>771</v>
      </c>
      <c r="D14" s="41" t="s">
        <v>201</v>
      </c>
      <c r="E14" s="41" t="s">
        <v>770</v>
      </c>
      <c r="F14" s="39"/>
      <c r="G14" s="39"/>
      <c r="H14" s="39" t="b">
        <v>0</v>
      </c>
      <c r="I14" s="39"/>
      <c r="J14" s="39"/>
      <c r="K14" s="39"/>
      <c r="L14" s="39"/>
      <c r="M14" s="39"/>
      <c r="N14" s="39"/>
      <c r="O14" s="33"/>
      <c r="P14" s="33"/>
      <c r="Q14" s="33"/>
      <c r="R14" s="33"/>
      <c r="S14" s="33"/>
      <c r="T14" s="33"/>
      <c r="U14" s="33"/>
      <c r="V14" s="33"/>
      <c r="W14" s="33"/>
    </row>
    <row r="15" spans="1:23" ht="15" x14ac:dyDescent="0.25">
      <c r="A15" s="37"/>
      <c r="B15" s="38"/>
      <c r="C15" s="41" t="s">
        <v>772</v>
      </c>
      <c r="D15" s="40" t="s">
        <v>201</v>
      </c>
      <c r="E15" s="41" t="s">
        <v>773</v>
      </c>
      <c r="F15" s="38"/>
      <c r="G15" s="39"/>
      <c r="H15" s="38" t="b">
        <v>0</v>
      </c>
      <c r="I15" s="39"/>
      <c r="J15" s="38"/>
      <c r="K15" s="39"/>
      <c r="L15" s="38"/>
      <c r="M15" s="39"/>
      <c r="N15" s="38"/>
      <c r="O15" s="33"/>
      <c r="P15" s="33"/>
      <c r="Q15" s="33"/>
      <c r="R15" s="33"/>
      <c r="S15" s="33"/>
      <c r="T15" s="33"/>
      <c r="U15" s="33"/>
      <c r="V15" s="33"/>
      <c r="W15" s="33"/>
    </row>
    <row r="16" spans="1:23" ht="15" x14ac:dyDescent="0.25">
      <c r="A16" s="37"/>
      <c r="B16" s="39"/>
      <c r="C16" s="41" t="s">
        <v>774</v>
      </c>
      <c r="D16" s="41" t="s">
        <v>201</v>
      </c>
      <c r="E16" s="41" t="s">
        <v>773</v>
      </c>
      <c r="F16" s="39"/>
      <c r="G16" s="39"/>
      <c r="H16" s="39" t="b">
        <v>0</v>
      </c>
      <c r="I16" s="39"/>
      <c r="J16" s="39"/>
      <c r="K16" s="39"/>
      <c r="L16" s="39"/>
      <c r="M16" s="39"/>
      <c r="N16" s="39"/>
      <c r="O16" s="33"/>
      <c r="P16" s="33"/>
      <c r="Q16" s="33"/>
      <c r="R16" s="33"/>
      <c r="S16" s="33"/>
      <c r="T16" s="33"/>
      <c r="U16" s="33"/>
      <c r="V16" s="33"/>
      <c r="W16" s="33"/>
    </row>
    <row r="17" spans="1:23" ht="15" x14ac:dyDescent="0.25">
      <c r="A17" s="37"/>
      <c r="B17" s="38"/>
      <c r="C17" s="41" t="s">
        <v>775</v>
      </c>
      <c r="D17" s="40" t="s">
        <v>201</v>
      </c>
      <c r="E17" s="41" t="s">
        <v>773</v>
      </c>
      <c r="F17" s="38"/>
      <c r="G17" s="39"/>
      <c r="H17" s="38" t="b">
        <v>0</v>
      </c>
      <c r="I17" s="39"/>
      <c r="J17" s="38"/>
      <c r="K17" s="39"/>
      <c r="L17" s="38"/>
      <c r="M17" s="39"/>
      <c r="N17" s="38"/>
      <c r="O17" s="33"/>
      <c r="P17" s="33"/>
      <c r="Q17" s="33"/>
      <c r="R17" s="33"/>
      <c r="S17" s="33"/>
      <c r="T17" s="33"/>
      <c r="U17" s="33"/>
      <c r="V17" s="33"/>
      <c r="W17" s="33"/>
    </row>
    <row r="18" spans="1:23" ht="15" x14ac:dyDescent="0.25">
      <c r="A18" s="37"/>
      <c r="B18" s="39"/>
      <c r="C18" s="41" t="s">
        <v>776</v>
      </c>
      <c r="D18" s="41" t="s">
        <v>201</v>
      </c>
      <c r="E18" s="41" t="s">
        <v>773</v>
      </c>
      <c r="F18" s="39"/>
      <c r="G18" s="39"/>
      <c r="H18" s="39" t="b">
        <v>0</v>
      </c>
      <c r="I18" s="39"/>
      <c r="J18" s="39"/>
      <c r="K18" s="39"/>
      <c r="L18" s="39"/>
      <c r="M18" s="39"/>
      <c r="N18" s="39"/>
      <c r="O18" s="33"/>
      <c r="P18" s="33"/>
      <c r="Q18" s="33"/>
      <c r="R18" s="33"/>
      <c r="S18" s="33"/>
      <c r="T18" s="33"/>
      <c r="U18" s="33"/>
      <c r="V18" s="33"/>
      <c r="W18" s="33"/>
    </row>
    <row r="19" spans="1:23" ht="15" x14ac:dyDescent="0.25">
      <c r="A19" s="37"/>
      <c r="B19" s="38"/>
      <c r="C19" s="41" t="s">
        <v>777</v>
      </c>
      <c r="D19" s="40" t="s">
        <v>201</v>
      </c>
      <c r="E19" s="41" t="s">
        <v>773</v>
      </c>
      <c r="F19" s="38"/>
      <c r="G19" s="39"/>
      <c r="H19" s="38" t="b">
        <v>0</v>
      </c>
      <c r="I19" s="39"/>
      <c r="J19" s="38"/>
      <c r="K19" s="39"/>
      <c r="L19" s="38"/>
      <c r="M19" s="39"/>
      <c r="N19" s="38"/>
      <c r="O19" s="33"/>
      <c r="P19" s="33"/>
      <c r="Q19" s="33"/>
      <c r="R19" s="33"/>
      <c r="S19" s="33"/>
      <c r="T19" s="33"/>
      <c r="U19" s="33"/>
      <c r="V19" s="33"/>
      <c r="W19" s="33"/>
    </row>
    <row r="20" spans="1:23" ht="15" x14ac:dyDescent="0.25">
      <c r="A20" s="37"/>
      <c r="B20" s="39"/>
      <c r="C20" s="41" t="s">
        <v>778</v>
      </c>
      <c r="D20" s="41" t="s">
        <v>201</v>
      </c>
      <c r="E20" s="41" t="s">
        <v>773</v>
      </c>
      <c r="F20" s="39"/>
      <c r="G20" s="39"/>
      <c r="H20" s="39" t="b">
        <v>0</v>
      </c>
      <c r="I20" s="39"/>
      <c r="J20" s="39"/>
      <c r="K20" s="39"/>
      <c r="L20" s="39"/>
      <c r="M20" s="39"/>
      <c r="N20" s="39"/>
      <c r="O20" s="33"/>
      <c r="P20" s="33"/>
      <c r="Q20" s="33"/>
      <c r="R20" s="33"/>
      <c r="S20" s="33"/>
      <c r="T20" s="33"/>
      <c r="U20" s="33"/>
      <c r="V20" s="33"/>
      <c r="W20" s="33"/>
    </row>
    <row r="21" spans="1:23" ht="15" x14ac:dyDescent="0.25">
      <c r="A21" s="37"/>
      <c r="B21" s="38"/>
      <c r="C21" s="41" t="s">
        <v>779</v>
      </c>
      <c r="D21" s="40" t="s">
        <v>201</v>
      </c>
      <c r="E21" s="41" t="s">
        <v>773</v>
      </c>
      <c r="F21" s="38"/>
      <c r="G21" s="39"/>
      <c r="H21" s="38" t="b">
        <v>0</v>
      </c>
      <c r="I21" s="39"/>
      <c r="J21" s="38"/>
      <c r="K21" s="39"/>
      <c r="L21" s="38"/>
      <c r="M21" s="39"/>
      <c r="N21" s="38"/>
      <c r="O21" s="33"/>
      <c r="P21" s="33"/>
      <c r="Q21" s="33"/>
      <c r="R21" s="33"/>
      <c r="S21" s="33"/>
      <c r="T21" s="33"/>
      <c r="U21" s="33"/>
      <c r="V21" s="33"/>
      <c r="W21" s="33"/>
    </row>
    <row r="22" spans="1:23" ht="15" x14ac:dyDescent="0.25">
      <c r="A22" s="37"/>
      <c r="B22" s="39"/>
      <c r="C22" s="41" t="s">
        <v>780</v>
      </c>
      <c r="D22" s="41" t="s">
        <v>201</v>
      </c>
      <c r="E22" s="41" t="s">
        <v>773</v>
      </c>
      <c r="F22" s="39"/>
      <c r="G22" s="39"/>
      <c r="H22" s="39" t="b">
        <v>0</v>
      </c>
      <c r="I22" s="39"/>
      <c r="J22" s="39"/>
      <c r="K22" s="39"/>
      <c r="L22" s="39"/>
      <c r="M22" s="39"/>
      <c r="N22" s="39"/>
      <c r="O22" s="33"/>
      <c r="P22" s="33"/>
      <c r="Q22" s="33"/>
      <c r="R22" s="33"/>
      <c r="S22" s="33"/>
      <c r="T22" s="33"/>
      <c r="U22" s="33"/>
      <c r="V22" s="33"/>
      <c r="W22" s="33"/>
    </row>
    <row r="23" spans="1:23" ht="15" x14ac:dyDescent="0.25">
      <c r="A23" s="37"/>
      <c r="B23" s="38"/>
      <c r="C23" s="41" t="s">
        <v>781</v>
      </c>
      <c r="D23" s="40" t="s">
        <v>201</v>
      </c>
      <c r="E23" s="41" t="s">
        <v>773</v>
      </c>
      <c r="F23" s="38"/>
      <c r="G23" s="39"/>
      <c r="H23" s="38" t="b">
        <v>0</v>
      </c>
      <c r="I23" s="39"/>
      <c r="J23" s="38"/>
      <c r="K23" s="39"/>
      <c r="L23" s="38"/>
      <c r="M23" s="39"/>
      <c r="N23" s="38"/>
      <c r="O23" s="33"/>
      <c r="P23" s="33"/>
      <c r="Q23" s="33"/>
      <c r="R23" s="33"/>
      <c r="S23" s="33"/>
      <c r="T23" s="33"/>
      <c r="U23" s="33"/>
      <c r="V23" s="33"/>
      <c r="W23" s="33"/>
    </row>
    <row r="24" spans="1:23" ht="15" x14ac:dyDescent="0.25">
      <c r="A24" s="37"/>
      <c r="B24" s="39"/>
      <c r="C24" s="41" t="s">
        <v>782</v>
      </c>
      <c r="D24" s="41" t="s">
        <v>201</v>
      </c>
      <c r="E24" s="41" t="s">
        <v>773</v>
      </c>
      <c r="F24" s="39"/>
      <c r="G24" s="39"/>
      <c r="H24" s="39" t="b">
        <v>0</v>
      </c>
      <c r="I24" s="39"/>
      <c r="J24" s="39"/>
      <c r="K24" s="39"/>
      <c r="L24" s="39"/>
      <c r="M24" s="39"/>
      <c r="N24" s="39"/>
      <c r="O24" s="33"/>
      <c r="P24" s="33"/>
      <c r="Q24" s="33"/>
      <c r="R24" s="33"/>
      <c r="S24" s="33"/>
      <c r="T24" s="33"/>
      <c r="U24" s="33"/>
      <c r="V24" s="33"/>
      <c r="W24" s="33"/>
    </row>
    <row r="25" spans="1:23" ht="15" x14ac:dyDescent="0.25">
      <c r="A25" s="37"/>
      <c r="B25" s="38"/>
      <c r="C25" s="41" t="s">
        <v>783</v>
      </c>
      <c r="D25" s="40" t="s">
        <v>227</v>
      </c>
      <c r="E25" s="41" t="s">
        <v>773</v>
      </c>
      <c r="F25" s="38"/>
      <c r="G25" s="39"/>
      <c r="H25" s="38" t="b">
        <v>0</v>
      </c>
      <c r="I25" s="39"/>
      <c r="J25" s="38"/>
      <c r="K25" s="39"/>
      <c r="L25" s="38"/>
      <c r="M25" s="39"/>
      <c r="N25" s="38"/>
      <c r="O25" s="33"/>
      <c r="P25" s="33"/>
      <c r="Q25" s="33"/>
      <c r="R25" s="33"/>
      <c r="S25" s="33"/>
      <c r="T25" s="33"/>
      <c r="U25" s="33"/>
      <c r="V25" s="33"/>
      <c r="W25" s="33"/>
    </row>
    <row r="26" spans="1:23" ht="15" x14ac:dyDescent="0.25">
      <c r="A26" s="37"/>
      <c r="B26" s="39"/>
      <c r="C26" s="41" t="s">
        <v>784</v>
      </c>
      <c r="D26" s="41" t="s">
        <v>227</v>
      </c>
      <c r="E26" s="41" t="s">
        <v>773</v>
      </c>
      <c r="F26" s="39"/>
      <c r="G26" s="39"/>
      <c r="H26" s="39" t="b">
        <v>0</v>
      </c>
      <c r="I26" s="39"/>
      <c r="J26" s="39"/>
      <c r="K26" s="39"/>
      <c r="L26" s="39"/>
      <c r="M26" s="39"/>
      <c r="N26" s="39"/>
      <c r="O26" s="33"/>
      <c r="P26" s="33"/>
      <c r="Q26" s="33"/>
      <c r="R26" s="33"/>
      <c r="S26" s="33"/>
      <c r="T26" s="33"/>
      <c r="U26" s="33"/>
      <c r="V26" s="33"/>
      <c r="W26" s="33"/>
    </row>
    <row r="27" spans="1:23" ht="15" x14ac:dyDescent="0.25">
      <c r="A27" s="37"/>
      <c r="B27" s="38"/>
      <c r="C27" s="41" t="s">
        <v>785</v>
      </c>
      <c r="D27" s="40" t="s">
        <v>227</v>
      </c>
      <c r="E27" s="41" t="s">
        <v>773</v>
      </c>
      <c r="F27" s="38"/>
      <c r="G27" s="39"/>
      <c r="H27" s="38" t="b">
        <v>0</v>
      </c>
      <c r="I27" s="39"/>
      <c r="J27" s="38"/>
      <c r="K27" s="39"/>
      <c r="L27" s="38"/>
      <c r="M27" s="39"/>
      <c r="N27" s="38"/>
      <c r="O27" s="33"/>
      <c r="P27" s="33"/>
      <c r="Q27" s="33"/>
      <c r="R27" s="33"/>
      <c r="S27" s="33"/>
      <c r="T27" s="33"/>
      <c r="U27" s="33"/>
      <c r="V27" s="33"/>
      <c r="W27" s="33"/>
    </row>
    <row r="28" spans="1:23" ht="15" x14ac:dyDescent="0.25">
      <c r="A28" s="37"/>
      <c r="B28" s="39"/>
      <c r="C28" s="41" t="s">
        <v>786</v>
      </c>
      <c r="D28" s="41" t="s">
        <v>227</v>
      </c>
      <c r="E28" s="41" t="s">
        <v>773</v>
      </c>
      <c r="F28" s="39"/>
      <c r="G28" s="39"/>
      <c r="H28" s="39" t="b">
        <v>0</v>
      </c>
      <c r="I28" s="39"/>
      <c r="J28" s="39"/>
      <c r="K28" s="39"/>
      <c r="L28" s="39"/>
      <c r="M28" s="39"/>
      <c r="N28" s="39"/>
      <c r="O28" s="33"/>
      <c r="P28" s="33"/>
      <c r="Q28" s="33"/>
      <c r="R28" s="33"/>
      <c r="S28" s="33"/>
      <c r="T28" s="33"/>
      <c r="U28" s="33"/>
      <c r="V28" s="33"/>
      <c r="W28" s="33"/>
    </row>
    <row r="29" spans="1:23" ht="15" x14ac:dyDescent="0.25">
      <c r="A29" s="37"/>
      <c r="B29" s="38"/>
      <c r="C29" s="41" t="s">
        <v>787</v>
      </c>
      <c r="D29" s="40" t="s">
        <v>227</v>
      </c>
      <c r="E29" s="41" t="s">
        <v>773</v>
      </c>
      <c r="F29" s="38"/>
      <c r="G29" s="39"/>
      <c r="H29" s="38" t="b">
        <v>0</v>
      </c>
      <c r="I29" s="39"/>
      <c r="J29" s="38"/>
      <c r="K29" s="39"/>
      <c r="L29" s="38"/>
      <c r="M29" s="39"/>
      <c r="N29" s="38"/>
      <c r="O29" s="33"/>
      <c r="P29" s="33"/>
      <c r="Q29" s="33"/>
      <c r="R29" s="33"/>
      <c r="S29" s="33"/>
      <c r="T29" s="33"/>
      <c r="U29" s="33"/>
      <c r="V29" s="33"/>
      <c r="W29" s="33"/>
    </row>
    <row r="30" spans="1:23" ht="15" x14ac:dyDescent="0.25">
      <c r="A30" s="37"/>
      <c r="B30" s="39"/>
      <c r="C30" s="41" t="s">
        <v>788</v>
      </c>
      <c r="D30" s="41" t="s">
        <v>201</v>
      </c>
      <c r="E30" s="41" t="s">
        <v>773</v>
      </c>
      <c r="F30" s="39"/>
      <c r="G30" s="39"/>
      <c r="H30" s="39" t="b">
        <v>0</v>
      </c>
      <c r="I30" s="39"/>
      <c r="J30" s="39"/>
      <c r="K30" s="39"/>
      <c r="L30" s="39"/>
      <c r="M30" s="39"/>
      <c r="N30" s="39"/>
      <c r="O30" s="33"/>
      <c r="P30" s="33"/>
      <c r="Q30" s="33"/>
      <c r="R30" s="33"/>
      <c r="S30" s="33"/>
      <c r="T30" s="33"/>
      <c r="U30" s="33"/>
      <c r="V30" s="33"/>
      <c r="W30" s="33"/>
    </row>
    <row r="31" spans="1:23" ht="15" x14ac:dyDescent="0.25">
      <c r="A31" s="37"/>
      <c r="B31" s="38"/>
      <c r="C31" s="41" t="s">
        <v>789</v>
      </c>
      <c r="D31" s="40" t="s">
        <v>201</v>
      </c>
      <c r="E31" s="41" t="s">
        <v>773</v>
      </c>
      <c r="F31" s="38"/>
      <c r="G31" s="39"/>
      <c r="H31" s="38" t="b">
        <v>0</v>
      </c>
      <c r="I31" s="39"/>
      <c r="J31" s="38"/>
      <c r="K31" s="39"/>
      <c r="L31" s="38"/>
      <c r="M31" s="39"/>
      <c r="N31" s="38"/>
      <c r="O31" s="33"/>
      <c r="P31" s="33"/>
      <c r="Q31" s="33"/>
      <c r="R31" s="33"/>
      <c r="S31" s="33"/>
      <c r="T31" s="33"/>
      <c r="U31" s="33"/>
      <c r="V31" s="33"/>
      <c r="W31" s="33"/>
    </row>
    <row r="32" spans="1:23" ht="15" x14ac:dyDescent="0.25">
      <c r="A32" s="37"/>
      <c r="B32" s="39"/>
      <c r="C32" s="41" t="s">
        <v>790</v>
      </c>
      <c r="D32" s="41" t="s">
        <v>201</v>
      </c>
      <c r="E32" s="41" t="s">
        <v>773</v>
      </c>
      <c r="F32" s="39"/>
      <c r="G32" s="39"/>
      <c r="H32" s="39" t="b">
        <v>0</v>
      </c>
      <c r="I32" s="39"/>
      <c r="J32" s="39"/>
      <c r="K32" s="39"/>
      <c r="L32" s="39"/>
      <c r="M32" s="39"/>
      <c r="N32" s="39"/>
      <c r="O32" s="33"/>
      <c r="P32" s="33"/>
      <c r="Q32" s="33"/>
      <c r="R32" s="33"/>
      <c r="S32" s="33"/>
      <c r="T32" s="33"/>
      <c r="U32" s="33"/>
      <c r="V32" s="33"/>
      <c r="W32" s="33"/>
    </row>
    <row r="33" spans="1:23" ht="15" x14ac:dyDescent="0.25">
      <c r="A33" s="37"/>
      <c r="B33" s="38"/>
      <c r="C33" s="41" t="s">
        <v>791</v>
      </c>
      <c r="D33" s="40" t="s">
        <v>201</v>
      </c>
      <c r="E33" s="41" t="s">
        <v>773</v>
      </c>
      <c r="F33" s="38"/>
      <c r="G33" s="39"/>
      <c r="H33" s="38" t="b">
        <v>0</v>
      </c>
      <c r="I33" s="39"/>
      <c r="J33" s="38"/>
      <c r="K33" s="39"/>
      <c r="L33" s="38"/>
      <c r="M33" s="39"/>
      <c r="N33" s="38"/>
      <c r="O33" s="33"/>
      <c r="P33" s="33"/>
      <c r="Q33" s="33"/>
      <c r="R33" s="33"/>
      <c r="S33" s="33"/>
      <c r="T33" s="33"/>
      <c r="U33" s="33"/>
      <c r="V33" s="33"/>
      <c r="W33" s="33"/>
    </row>
    <row r="34" spans="1:23" ht="15" x14ac:dyDescent="0.25">
      <c r="A34" s="37"/>
      <c r="B34" s="39"/>
      <c r="C34" s="41" t="s">
        <v>792</v>
      </c>
      <c r="D34" s="41" t="s">
        <v>201</v>
      </c>
      <c r="E34" s="41" t="s">
        <v>773</v>
      </c>
      <c r="F34" s="39"/>
      <c r="G34" s="39"/>
      <c r="H34" s="39" t="b">
        <v>0</v>
      </c>
      <c r="I34" s="39"/>
      <c r="J34" s="39"/>
      <c r="K34" s="39"/>
      <c r="L34" s="39"/>
      <c r="M34" s="39"/>
      <c r="N34" s="39"/>
      <c r="O34" s="33"/>
      <c r="P34" s="33"/>
      <c r="Q34" s="33"/>
      <c r="R34" s="33"/>
      <c r="S34" s="33"/>
      <c r="T34" s="33"/>
      <c r="U34" s="33"/>
      <c r="V34" s="33"/>
      <c r="W34" s="33"/>
    </row>
    <row r="35" spans="1:23" ht="15" x14ac:dyDescent="0.25">
      <c r="A35" s="37"/>
      <c r="B35" s="38"/>
      <c r="C35" s="41" t="s">
        <v>636</v>
      </c>
      <c r="D35" s="40" t="s">
        <v>227</v>
      </c>
      <c r="E35" s="41" t="s">
        <v>773</v>
      </c>
      <c r="F35" s="38"/>
      <c r="G35" s="39"/>
      <c r="H35" s="38" t="b">
        <v>0</v>
      </c>
      <c r="I35" s="39"/>
      <c r="J35" s="38"/>
      <c r="K35" s="39"/>
      <c r="L35" s="38"/>
      <c r="M35" s="39"/>
      <c r="N35" s="38"/>
      <c r="O35" s="33"/>
      <c r="P35" s="33"/>
      <c r="Q35" s="33"/>
      <c r="R35" s="33"/>
      <c r="S35" s="33"/>
      <c r="T35" s="33"/>
      <c r="U35" s="33"/>
      <c r="V35" s="33"/>
      <c r="W35" s="33"/>
    </row>
    <row r="36" spans="1:23" ht="15" x14ac:dyDescent="0.25">
      <c r="A36" s="37"/>
      <c r="B36" s="39"/>
      <c r="C36" s="41" t="s">
        <v>637</v>
      </c>
      <c r="D36" s="41" t="s">
        <v>227</v>
      </c>
      <c r="E36" s="41" t="s">
        <v>773</v>
      </c>
      <c r="F36" s="39"/>
      <c r="G36" s="39"/>
      <c r="H36" s="39" t="b">
        <v>0</v>
      </c>
      <c r="I36" s="39"/>
      <c r="J36" s="39"/>
      <c r="K36" s="39"/>
      <c r="L36" s="39"/>
      <c r="M36" s="39"/>
      <c r="N36" s="39"/>
      <c r="O36" s="33"/>
      <c r="P36" s="33"/>
      <c r="Q36" s="33"/>
      <c r="R36" s="33"/>
      <c r="S36" s="33"/>
      <c r="T36" s="33"/>
      <c r="U36" s="33"/>
      <c r="V36" s="33"/>
      <c r="W36" s="33"/>
    </row>
    <row r="37" spans="1:23" ht="15" x14ac:dyDescent="0.25">
      <c r="A37" s="37"/>
      <c r="B37" s="38"/>
      <c r="C37" s="41" t="s">
        <v>638</v>
      </c>
      <c r="D37" s="40" t="s">
        <v>227</v>
      </c>
      <c r="E37" s="41" t="s">
        <v>773</v>
      </c>
      <c r="F37" s="38"/>
      <c r="G37" s="39"/>
      <c r="H37" s="38" t="b">
        <v>0</v>
      </c>
      <c r="I37" s="39"/>
      <c r="J37" s="38"/>
      <c r="K37" s="39"/>
      <c r="L37" s="38"/>
      <c r="M37" s="39"/>
      <c r="N37" s="38"/>
      <c r="O37" s="33"/>
      <c r="P37" s="33"/>
      <c r="Q37" s="33"/>
      <c r="R37" s="33"/>
      <c r="S37" s="33"/>
      <c r="T37" s="33"/>
      <c r="U37" s="33"/>
      <c r="V37" s="33"/>
      <c r="W37" s="33"/>
    </row>
    <row r="38" spans="1:23" ht="15" x14ac:dyDescent="0.25">
      <c r="A38" s="37"/>
      <c r="B38" s="39"/>
      <c r="C38" s="41" t="s">
        <v>639</v>
      </c>
      <c r="D38" s="41" t="s">
        <v>227</v>
      </c>
      <c r="E38" s="41" t="s">
        <v>773</v>
      </c>
      <c r="F38" s="39"/>
      <c r="G38" s="39"/>
      <c r="H38" s="39" t="b">
        <v>0</v>
      </c>
      <c r="I38" s="39"/>
      <c r="J38" s="39"/>
      <c r="K38" s="39"/>
      <c r="L38" s="39"/>
      <c r="M38" s="39"/>
      <c r="N38" s="39"/>
      <c r="O38" s="33"/>
      <c r="P38" s="33"/>
      <c r="Q38" s="33"/>
      <c r="R38" s="33"/>
      <c r="S38" s="33"/>
      <c r="T38" s="33"/>
      <c r="U38" s="33"/>
      <c r="V38" s="33"/>
      <c r="W38" s="33"/>
    </row>
    <row r="39" spans="1:23" ht="15" x14ac:dyDescent="0.25">
      <c r="A39" s="37"/>
      <c r="B39" s="38"/>
      <c r="C39" s="41" t="s">
        <v>640</v>
      </c>
      <c r="D39" s="40" t="s">
        <v>227</v>
      </c>
      <c r="E39" s="41" t="s">
        <v>773</v>
      </c>
      <c r="F39" s="38"/>
      <c r="G39" s="39"/>
      <c r="H39" s="38" t="b">
        <v>0</v>
      </c>
      <c r="I39" s="39"/>
      <c r="J39" s="38"/>
      <c r="K39" s="39"/>
      <c r="L39" s="38"/>
      <c r="M39" s="39"/>
      <c r="N39" s="38"/>
      <c r="O39" s="33"/>
      <c r="P39" s="33"/>
      <c r="Q39" s="33"/>
      <c r="R39" s="33"/>
      <c r="S39" s="33"/>
      <c r="T39" s="33"/>
      <c r="U39" s="33"/>
      <c r="V39" s="33"/>
      <c r="W39" s="33"/>
    </row>
    <row r="40" spans="1:23" ht="15" x14ac:dyDescent="0.25">
      <c r="A40" s="37"/>
      <c r="B40" s="39"/>
      <c r="C40" s="41" t="s">
        <v>592</v>
      </c>
      <c r="D40" s="41" t="s">
        <v>201</v>
      </c>
      <c r="E40" s="41" t="s">
        <v>773</v>
      </c>
      <c r="F40" s="39"/>
      <c r="G40" s="39"/>
      <c r="H40" s="39" t="b">
        <v>0</v>
      </c>
      <c r="I40" s="39"/>
      <c r="J40" s="39"/>
      <c r="K40" s="39"/>
      <c r="L40" s="39"/>
      <c r="M40" s="39"/>
      <c r="N40" s="39"/>
      <c r="O40" s="33"/>
      <c r="P40" s="33"/>
      <c r="Q40" s="33"/>
      <c r="R40" s="33"/>
      <c r="S40" s="33"/>
      <c r="T40" s="33"/>
      <c r="U40" s="33"/>
      <c r="V40" s="33"/>
      <c r="W40" s="33"/>
    </row>
    <row r="41" spans="1:23" ht="15" x14ac:dyDescent="0.25">
      <c r="A41" s="37"/>
      <c r="B41" s="38"/>
      <c r="C41" s="41" t="s">
        <v>594</v>
      </c>
      <c r="D41" s="40" t="s">
        <v>201</v>
      </c>
      <c r="E41" s="41" t="s">
        <v>773</v>
      </c>
      <c r="F41" s="38"/>
      <c r="G41" s="39"/>
      <c r="H41" s="38" t="b">
        <v>0</v>
      </c>
      <c r="I41" s="39"/>
      <c r="J41" s="38"/>
      <c r="K41" s="39"/>
      <c r="L41" s="38"/>
      <c r="M41" s="39"/>
      <c r="N41" s="38"/>
      <c r="O41" s="33"/>
      <c r="P41" s="33"/>
      <c r="Q41" s="33"/>
      <c r="R41" s="33"/>
      <c r="S41" s="33"/>
      <c r="T41" s="33"/>
      <c r="U41" s="33"/>
      <c r="V41" s="33"/>
      <c r="W41" s="33"/>
    </row>
    <row r="42" spans="1:23" ht="15" x14ac:dyDescent="0.25">
      <c r="A42" s="37"/>
      <c r="B42" s="39"/>
      <c r="C42" s="41" t="s">
        <v>583</v>
      </c>
      <c r="D42" s="41" t="s">
        <v>584</v>
      </c>
      <c r="E42" s="41" t="s">
        <v>793</v>
      </c>
      <c r="F42" s="39"/>
      <c r="G42" s="39"/>
      <c r="H42" s="39" t="b">
        <v>0</v>
      </c>
      <c r="I42" s="39"/>
      <c r="J42" s="39"/>
      <c r="K42" s="39"/>
      <c r="L42" s="39"/>
      <c r="M42" s="39"/>
      <c r="N42" s="39"/>
      <c r="O42" s="33"/>
      <c r="P42" s="33"/>
      <c r="Q42" s="33"/>
      <c r="R42" s="33"/>
      <c r="S42" s="33"/>
      <c r="T42" s="33"/>
      <c r="U42" s="33"/>
      <c r="V42" s="33"/>
      <c r="W42" s="33"/>
    </row>
    <row r="43" spans="1:23" ht="15" x14ac:dyDescent="0.25">
      <c r="A43" s="42" t="s">
        <v>371</v>
      </c>
      <c r="B43" s="40"/>
      <c r="C43" s="41" t="s">
        <v>718</v>
      </c>
      <c r="D43" s="40" t="s">
        <v>258</v>
      </c>
      <c r="E43" s="43" t="s">
        <v>719</v>
      </c>
      <c r="F43" s="38"/>
      <c r="G43" s="39"/>
      <c r="H43" s="38" t="b">
        <v>0</v>
      </c>
      <c r="I43" s="39"/>
      <c r="J43" s="38"/>
      <c r="K43" s="39"/>
      <c r="L43" s="38"/>
      <c r="M43" s="39"/>
      <c r="N43" s="38"/>
      <c r="O43" s="33"/>
      <c r="P43" s="33"/>
      <c r="Q43" s="33"/>
      <c r="R43" s="33"/>
      <c r="S43" s="33"/>
      <c r="T43" s="33"/>
      <c r="U43" s="33"/>
      <c r="V43" s="33"/>
      <c r="W43" s="33"/>
    </row>
    <row r="44" spans="1:23" ht="15" x14ac:dyDescent="0.25">
      <c r="A44" s="37"/>
      <c r="B44" s="39"/>
      <c r="C44" s="41" t="s">
        <v>494</v>
      </c>
      <c r="D44" s="41" t="s">
        <v>201</v>
      </c>
      <c r="E44" s="41" t="s">
        <v>431</v>
      </c>
      <c r="F44" s="39"/>
      <c r="G44" s="39"/>
      <c r="H44" s="39" t="b">
        <v>0</v>
      </c>
      <c r="I44" s="39"/>
      <c r="J44" s="39"/>
      <c r="K44" s="39"/>
      <c r="L44" s="39"/>
      <c r="M44" s="39"/>
      <c r="N44" s="39"/>
      <c r="O44" s="33"/>
      <c r="P44" s="33"/>
      <c r="Q44" s="33"/>
      <c r="R44" s="33"/>
      <c r="S44" s="33"/>
      <c r="T44" s="33"/>
      <c r="U44" s="33"/>
      <c r="V44" s="33"/>
      <c r="W44" s="33"/>
    </row>
    <row r="45" spans="1:23" ht="15" x14ac:dyDescent="0.25">
      <c r="A45" s="37"/>
      <c r="B45" s="38"/>
      <c r="C45" s="41" t="s">
        <v>534</v>
      </c>
      <c r="D45" s="40" t="s">
        <v>201</v>
      </c>
      <c r="E45" s="41" t="s">
        <v>794</v>
      </c>
      <c r="F45" s="38"/>
      <c r="G45" s="39"/>
      <c r="H45" s="38" t="b">
        <v>0</v>
      </c>
      <c r="I45" s="39"/>
      <c r="J45" s="38"/>
      <c r="K45" s="39"/>
      <c r="L45" s="38"/>
      <c r="M45" s="39"/>
      <c r="N45" s="38"/>
      <c r="O45" s="33"/>
      <c r="P45" s="33"/>
      <c r="Q45" s="33"/>
      <c r="R45" s="33"/>
      <c r="S45" s="33"/>
      <c r="T45" s="33"/>
      <c r="U45" s="33"/>
      <c r="V45" s="33"/>
      <c r="W45" s="33"/>
    </row>
    <row r="46" spans="1:23" ht="15" x14ac:dyDescent="0.25">
      <c r="A46" s="37"/>
      <c r="B46" s="39"/>
      <c r="C46" s="41" t="s">
        <v>536</v>
      </c>
      <c r="D46" s="41" t="s">
        <v>201</v>
      </c>
      <c r="E46" s="41" t="s">
        <v>795</v>
      </c>
      <c r="F46" s="39"/>
      <c r="G46" s="39"/>
      <c r="H46" s="39" t="b">
        <v>0</v>
      </c>
      <c r="I46" s="39"/>
      <c r="J46" s="39"/>
      <c r="K46" s="39"/>
      <c r="L46" s="39"/>
      <c r="M46" s="39"/>
      <c r="N46" s="39"/>
      <c r="O46" s="33"/>
      <c r="P46" s="33"/>
      <c r="Q46" s="33"/>
      <c r="R46" s="33"/>
      <c r="S46" s="33"/>
      <c r="T46" s="33"/>
      <c r="U46" s="33"/>
      <c r="V46" s="33"/>
      <c r="W46" s="33"/>
    </row>
    <row r="47" spans="1:23" ht="15" x14ac:dyDescent="0.25">
      <c r="A47" s="37"/>
      <c r="B47" s="38"/>
      <c r="C47" s="41" t="s">
        <v>538</v>
      </c>
      <c r="D47" s="40" t="s">
        <v>201</v>
      </c>
      <c r="E47" s="41" t="s">
        <v>796</v>
      </c>
      <c r="F47" s="38"/>
      <c r="G47" s="39"/>
      <c r="H47" s="38" t="b">
        <v>0</v>
      </c>
      <c r="I47" s="39"/>
      <c r="J47" s="38"/>
      <c r="K47" s="39"/>
      <c r="L47" s="38"/>
      <c r="M47" s="39"/>
      <c r="N47" s="38"/>
      <c r="O47" s="33"/>
      <c r="P47" s="33"/>
      <c r="Q47" s="33"/>
      <c r="R47" s="33"/>
      <c r="S47" s="33"/>
      <c r="T47" s="33"/>
      <c r="U47" s="33"/>
      <c r="V47" s="33"/>
      <c r="W47" s="33"/>
    </row>
    <row r="48" spans="1:23" ht="15" x14ac:dyDescent="0.25">
      <c r="A48" s="37"/>
      <c r="B48" s="39"/>
      <c r="C48" s="41" t="s">
        <v>542</v>
      </c>
      <c r="D48" s="41" t="s">
        <v>201</v>
      </c>
      <c r="E48" s="41" t="s">
        <v>797</v>
      </c>
      <c r="F48" s="39"/>
      <c r="G48" s="39"/>
      <c r="H48" s="39" t="b">
        <v>0</v>
      </c>
      <c r="I48" s="39"/>
      <c r="J48" s="39"/>
      <c r="K48" s="39"/>
      <c r="L48" s="39"/>
      <c r="M48" s="39"/>
      <c r="N48" s="39"/>
      <c r="O48" s="33"/>
      <c r="P48" s="33"/>
      <c r="Q48" s="33"/>
      <c r="R48" s="33"/>
      <c r="S48" s="33"/>
      <c r="T48" s="33"/>
      <c r="U48" s="33"/>
      <c r="V48" s="33"/>
      <c r="W48" s="33"/>
    </row>
    <row r="49" spans="1:23" ht="15" x14ac:dyDescent="0.25">
      <c r="A49" s="37"/>
      <c r="B49" s="38"/>
      <c r="C49" s="41" t="s">
        <v>553</v>
      </c>
      <c r="D49" s="40" t="s">
        <v>201</v>
      </c>
      <c r="E49" s="41" t="s">
        <v>798</v>
      </c>
      <c r="F49" s="38"/>
      <c r="G49" s="39"/>
      <c r="H49" s="38" t="b">
        <v>0</v>
      </c>
      <c r="I49" s="39"/>
      <c r="J49" s="38"/>
      <c r="K49" s="39"/>
      <c r="L49" s="38"/>
      <c r="M49" s="39"/>
      <c r="N49" s="38"/>
      <c r="O49" s="33"/>
      <c r="P49" s="33"/>
      <c r="Q49" s="33"/>
      <c r="R49" s="33"/>
      <c r="S49" s="33"/>
      <c r="T49" s="33"/>
      <c r="U49" s="33"/>
      <c r="V49" s="33"/>
      <c r="W49" s="33"/>
    </row>
    <row r="50" spans="1:23" ht="15" x14ac:dyDescent="0.25">
      <c r="A50" s="37"/>
      <c r="B50" s="39"/>
      <c r="C50" s="41" t="s">
        <v>565</v>
      </c>
      <c r="D50" s="41" t="s">
        <v>201</v>
      </c>
      <c r="E50" s="41" t="s">
        <v>799</v>
      </c>
      <c r="F50" s="39"/>
      <c r="G50" s="39"/>
      <c r="H50" s="39" t="b">
        <v>0</v>
      </c>
      <c r="I50" s="39"/>
      <c r="J50" s="39"/>
      <c r="K50" s="39"/>
      <c r="L50" s="39"/>
      <c r="M50" s="39"/>
      <c r="N50" s="39"/>
      <c r="O50" s="33"/>
      <c r="P50" s="33"/>
      <c r="Q50" s="33"/>
      <c r="R50" s="33"/>
      <c r="S50" s="33"/>
      <c r="T50" s="33"/>
      <c r="U50" s="33"/>
      <c r="V50" s="33"/>
      <c r="W50" s="33"/>
    </row>
    <row r="51" spans="1:23" ht="15" x14ac:dyDescent="0.25">
      <c r="A51" s="37"/>
      <c r="B51" s="38"/>
      <c r="C51" s="41" t="s">
        <v>567</v>
      </c>
      <c r="D51" s="40" t="s">
        <v>201</v>
      </c>
      <c r="E51" s="41" t="s">
        <v>800</v>
      </c>
      <c r="F51" s="38"/>
      <c r="G51" s="39"/>
      <c r="H51" s="38" t="b">
        <v>0</v>
      </c>
      <c r="I51" s="39"/>
      <c r="J51" s="38"/>
      <c r="K51" s="39"/>
      <c r="L51" s="38"/>
      <c r="M51" s="39"/>
      <c r="N51" s="38"/>
      <c r="O51" s="33"/>
      <c r="P51" s="33"/>
      <c r="Q51" s="33"/>
      <c r="R51" s="33"/>
      <c r="S51" s="33"/>
      <c r="T51" s="33"/>
      <c r="U51" s="33"/>
      <c r="V51" s="33"/>
      <c r="W51" s="33"/>
    </row>
    <row r="52" spans="1:23" ht="15" x14ac:dyDescent="0.25">
      <c r="A52" s="37"/>
      <c r="B52" s="39"/>
      <c r="C52" s="41" t="s">
        <v>571</v>
      </c>
      <c r="D52" s="41" t="s">
        <v>201</v>
      </c>
      <c r="E52" s="41" t="s">
        <v>385</v>
      </c>
      <c r="F52" s="39"/>
      <c r="G52" s="39"/>
      <c r="H52" s="39" t="b">
        <v>0</v>
      </c>
      <c r="I52" s="39"/>
      <c r="J52" s="39"/>
      <c r="K52" s="39"/>
      <c r="L52" s="39"/>
      <c r="M52" s="39"/>
      <c r="N52" s="39"/>
      <c r="O52" s="33"/>
      <c r="P52" s="33"/>
      <c r="Q52" s="33"/>
      <c r="R52" s="33"/>
      <c r="S52" s="33"/>
      <c r="T52" s="33"/>
      <c r="U52" s="33"/>
      <c r="V52" s="33"/>
      <c r="W52" s="33"/>
    </row>
    <row r="53" spans="1:23" ht="15" x14ac:dyDescent="0.25">
      <c r="A53" s="37"/>
      <c r="B53" s="38"/>
      <c r="C53" s="41" t="s">
        <v>573</v>
      </c>
      <c r="D53" s="40" t="s">
        <v>201</v>
      </c>
      <c r="E53" s="41" t="s">
        <v>433</v>
      </c>
      <c r="F53" s="38"/>
      <c r="G53" s="39"/>
      <c r="H53" s="38" t="b">
        <v>0</v>
      </c>
      <c r="I53" s="39"/>
      <c r="J53" s="38"/>
      <c r="K53" s="39"/>
      <c r="L53" s="38"/>
      <c r="M53" s="39"/>
      <c r="N53" s="38"/>
      <c r="O53" s="33"/>
      <c r="P53" s="33"/>
      <c r="Q53" s="33"/>
      <c r="R53" s="33"/>
      <c r="S53" s="33"/>
      <c r="T53" s="33"/>
      <c r="U53" s="33"/>
      <c r="V53" s="33"/>
      <c r="W53" s="33"/>
    </row>
    <row r="54" spans="1:23" ht="15" x14ac:dyDescent="0.25">
      <c r="A54" s="37"/>
      <c r="B54" s="39"/>
      <c r="C54" s="41" t="s">
        <v>575</v>
      </c>
      <c r="D54" s="41" t="s">
        <v>201</v>
      </c>
      <c r="E54" s="41" t="s">
        <v>801</v>
      </c>
      <c r="F54" s="39"/>
      <c r="G54" s="39"/>
      <c r="H54" s="39" t="b">
        <v>0</v>
      </c>
      <c r="I54" s="39"/>
      <c r="J54" s="39"/>
      <c r="K54" s="39"/>
      <c r="L54" s="39"/>
      <c r="M54" s="39"/>
      <c r="N54" s="39"/>
      <c r="O54" s="33"/>
      <c r="P54" s="33"/>
      <c r="Q54" s="33"/>
      <c r="R54" s="33"/>
      <c r="S54" s="33"/>
      <c r="T54" s="33"/>
      <c r="U54" s="33"/>
      <c r="V54" s="33"/>
      <c r="W54" s="33"/>
    </row>
    <row r="55" spans="1:23" ht="15" x14ac:dyDescent="0.25">
      <c r="A55" s="37"/>
      <c r="B55" s="38"/>
      <c r="C55" s="41" t="s">
        <v>577</v>
      </c>
      <c r="D55" s="40" t="s">
        <v>249</v>
      </c>
      <c r="E55" s="41" t="s">
        <v>802</v>
      </c>
      <c r="F55" s="38"/>
      <c r="G55" s="39"/>
      <c r="H55" s="38" t="b">
        <v>0</v>
      </c>
      <c r="I55" s="39"/>
      <c r="J55" s="38"/>
      <c r="K55" s="39"/>
      <c r="L55" s="38"/>
      <c r="M55" s="39"/>
      <c r="N55" s="38"/>
      <c r="O55" s="33"/>
      <c r="P55" s="33"/>
      <c r="Q55" s="33"/>
      <c r="R55" s="33"/>
      <c r="S55" s="33"/>
      <c r="T55" s="33"/>
      <c r="U55" s="33"/>
      <c r="V55" s="33"/>
      <c r="W55" s="33"/>
    </row>
    <row r="56" spans="1:23" ht="15" x14ac:dyDescent="0.25">
      <c r="A56" s="37"/>
      <c r="B56" s="39"/>
      <c r="C56" s="41" t="s">
        <v>579</v>
      </c>
      <c r="D56" s="41" t="s">
        <v>201</v>
      </c>
      <c r="E56" s="41" t="s">
        <v>425</v>
      </c>
      <c r="F56" s="39"/>
      <c r="G56" s="39"/>
      <c r="H56" s="39" t="b">
        <v>0</v>
      </c>
      <c r="I56" s="39"/>
      <c r="J56" s="39"/>
      <c r="K56" s="39"/>
      <c r="L56" s="39"/>
      <c r="M56" s="39"/>
      <c r="N56" s="39"/>
      <c r="O56" s="33"/>
      <c r="P56" s="33"/>
      <c r="Q56" s="33"/>
      <c r="R56" s="33"/>
      <c r="S56" s="33"/>
      <c r="T56" s="33"/>
      <c r="U56" s="33"/>
      <c r="V56" s="33"/>
      <c r="W56" s="33"/>
    </row>
    <row r="57" spans="1:23" ht="15" x14ac:dyDescent="0.25">
      <c r="A57" s="37"/>
      <c r="B57" s="38"/>
      <c r="C57" s="41" t="s">
        <v>601</v>
      </c>
      <c r="D57" s="40" t="s">
        <v>201</v>
      </c>
      <c r="E57" s="41" t="s">
        <v>803</v>
      </c>
      <c r="F57" s="38"/>
      <c r="G57" s="39"/>
      <c r="H57" s="38" t="b">
        <v>0</v>
      </c>
      <c r="I57" s="39"/>
      <c r="J57" s="38"/>
      <c r="K57" s="39"/>
      <c r="L57" s="38"/>
      <c r="M57" s="39"/>
      <c r="N57" s="38"/>
      <c r="O57" s="33"/>
      <c r="P57" s="33"/>
      <c r="Q57" s="33"/>
      <c r="R57" s="33"/>
      <c r="S57" s="33"/>
      <c r="T57" s="33"/>
      <c r="U57" s="33"/>
      <c r="V57" s="33"/>
      <c r="W57" s="33"/>
    </row>
    <row r="58" spans="1:23" ht="15" x14ac:dyDescent="0.25">
      <c r="A58" s="37"/>
      <c r="B58" s="39"/>
      <c r="C58" s="41" t="s">
        <v>603</v>
      </c>
      <c r="D58" s="41" t="s">
        <v>201</v>
      </c>
      <c r="E58" s="41" t="s">
        <v>427</v>
      </c>
      <c r="F58" s="39"/>
      <c r="G58" s="39"/>
      <c r="H58" s="39" t="b">
        <v>0</v>
      </c>
      <c r="I58" s="39"/>
      <c r="J58" s="39"/>
      <c r="K58" s="39"/>
      <c r="L58" s="39"/>
      <c r="M58" s="39"/>
      <c r="N58" s="39"/>
      <c r="O58" s="33"/>
      <c r="P58" s="33"/>
      <c r="Q58" s="33"/>
      <c r="R58" s="33"/>
      <c r="S58" s="33"/>
      <c r="T58" s="33"/>
      <c r="U58" s="33"/>
      <c r="V58" s="33"/>
      <c r="W58" s="33"/>
    </row>
    <row r="59" spans="1:23" ht="15" x14ac:dyDescent="0.25">
      <c r="A59" s="37"/>
      <c r="B59" s="38"/>
      <c r="C59" s="41" t="s">
        <v>645</v>
      </c>
      <c r="D59" s="40" t="s">
        <v>227</v>
      </c>
      <c r="E59" s="41" t="s">
        <v>436</v>
      </c>
      <c r="F59" s="38"/>
      <c r="G59" s="39"/>
      <c r="H59" s="38" t="b">
        <v>0</v>
      </c>
      <c r="I59" s="39"/>
      <c r="J59" s="38"/>
      <c r="K59" s="39"/>
      <c r="L59" s="38"/>
      <c r="M59" s="39"/>
      <c r="N59" s="38"/>
      <c r="O59" s="33"/>
      <c r="P59" s="33"/>
      <c r="Q59" s="33"/>
      <c r="R59" s="33"/>
      <c r="S59" s="33"/>
      <c r="T59" s="33"/>
      <c r="U59" s="33"/>
      <c r="V59" s="33"/>
      <c r="W59" s="33"/>
    </row>
    <row r="60" spans="1:23" ht="15" x14ac:dyDescent="0.25">
      <c r="A60" s="37"/>
      <c r="B60" s="39"/>
      <c r="C60" s="41" t="s">
        <v>647</v>
      </c>
      <c r="D60" s="41" t="s">
        <v>201</v>
      </c>
      <c r="E60" s="41" t="s">
        <v>804</v>
      </c>
      <c r="F60" s="39"/>
      <c r="G60" s="39"/>
      <c r="H60" s="39" t="b">
        <v>0</v>
      </c>
      <c r="I60" s="39"/>
      <c r="J60" s="39"/>
      <c r="K60" s="39"/>
      <c r="L60" s="39"/>
      <c r="M60" s="39"/>
      <c r="N60" s="39"/>
      <c r="O60" s="33"/>
      <c r="P60" s="33"/>
      <c r="Q60" s="33"/>
      <c r="R60" s="33"/>
      <c r="S60" s="33"/>
      <c r="T60" s="33"/>
      <c r="U60" s="33"/>
      <c r="V60" s="33"/>
      <c r="W60" s="33"/>
    </row>
    <row r="61" spans="1:23" ht="15" x14ac:dyDescent="0.25">
      <c r="A61" s="37"/>
      <c r="B61" s="38"/>
      <c r="C61" s="41" t="s">
        <v>653</v>
      </c>
      <c r="D61" s="40" t="s">
        <v>201</v>
      </c>
      <c r="E61" s="41" t="s">
        <v>805</v>
      </c>
      <c r="F61" s="38"/>
      <c r="G61" s="39"/>
      <c r="H61" s="38" t="b">
        <v>0</v>
      </c>
      <c r="I61" s="39"/>
      <c r="J61" s="38"/>
      <c r="K61" s="39"/>
      <c r="L61" s="38"/>
      <c r="M61" s="39"/>
      <c r="N61" s="38"/>
      <c r="O61" s="33"/>
      <c r="P61" s="33"/>
      <c r="Q61" s="33"/>
      <c r="R61" s="33"/>
      <c r="S61" s="33"/>
      <c r="T61" s="33"/>
      <c r="U61" s="33"/>
      <c r="V61" s="33"/>
      <c r="W61" s="33"/>
    </row>
    <row r="62" spans="1:23" ht="15" x14ac:dyDescent="0.25">
      <c r="A62" s="37"/>
      <c r="B62" s="39"/>
      <c r="C62" s="41" t="s">
        <v>657</v>
      </c>
      <c r="D62" s="41" t="s">
        <v>201</v>
      </c>
      <c r="E62" s="41" t="s">
        <v>806</v>
      </c>
      <c r="F62" s="39"/>
      <c r="G62" s="39"/>
      <c r="H62" s="39" t="b">
        <v>0</v>
      </c>
      <c r="I62" s="39"/>
      <c r="J62" s="39"/>
      <c r="K62" s="39"/>
      <c r="L62" s="39"/>
      <c r="M62" s="39"/>
      <c r="N62" s="39"/>
      <c r="O62" s="33"/>
      <c r="P62" s="33"/>
      <c r="Q62" s="33"/>
      <c r="R62" s="33"/>
      <c r="S62" s="33"/>
      <c r="T62" s="33"/>
      <c r="U62" s="33"/>
      <c r="V62" s="33"/>
      <c r="W62" s="33"/>
    </row>
    <row r="63" spans="1:23" ht="15" x14ac:dyDescent="0.25">
      <c r="A63" s="37"/>
      <c r="B63" s="38"/>
      <c r="C63" s="41" t="s">
        <v>659</v>
      </c>
      <c r="D63" s="40" t="s">
        <v>201</v>
      </c>
      <c r="E63" s="41" t="s">
        <v>807</v>
      </c>
      <c r="F63" s="38"/>
      <c r="G63" s="39"/>
      <c r="H63" s="38" t="b">
        <v>0</v>
      </c>
      <c r="I63" s="39"/>
      <c r="J63" s="38"/>
      <c r="K63" s="39"/>
      <c r="L63" s="38"/>
      <c r="M63" s="39"/>
      <c r="N63" s="38"/>
      <c r="O63" s="33"/>
      <c r="P63" s="33"/>
      <c r="Q63" s="33"/>
      <c r="R63" s="33"/>
      <c r="S63" s="33"/>
      <c r="T63" s="33"/>
      <c r="U63" s="33"/>
      <c r="V63" s="33"/>
      <c r="W63" s="33"/>
    </row>
    <row r="64" spans="1:23" ht="15" x14ac:dyDescent="0.25">
      <c r="A64" s="37"/>
      <c r="B64" s="39"/>
      <c r="C64" s="41" t="s">
        <v>661</v>
      </c>
      <c r="D64" s="41" t="s">
        <v>201</v>
      </c>
      <c r="E64" s="41" t="s">
        <v>808</v>
      </c>
      <c r="F64" s="39"/>
      <c r="G64" s="39"/>
      <c r="H64" s="39" t="b">
        <v>0</v>
      </c>
      <c r="I64" s="39"/>
      <c r="J64" s="39"/>
      <c r="K64" s="39"/>
      <c r="L64" s="39"/>
      <c r="M64" s="39"/>
      <c r="N64" s="39"/>
      <c r="O64" s="33"/>
      <c r="P64" s="33"/>
      <c r="Q64" s="33"/>
      <c r="R64" s="33"/>
      <c r="S64" s="33"/>
      <c r="T64" s="33"/>
      <c r="U64" s="33"/>
      <c r="V64" s="33"/>
      <c r="W64" s="33"/>
    </row>
    <row r="65" spans="1:23" ht="15" x14ac:dyDescent="0.25">
      <c r="A65" s="37"/>
      <c r="B65" s="38"/>
      <c r="C65" s="41" t="s">
        <v>663</v>
      </c>
      <c r="D65" s="40" t="s">
        <v>201</v>
      </c>
      <c r="E65" s="41" t="s">
        <v>809</v>
      </c>
      <c r="F65" s="38"/>
      <c r="G65" s="39"/>
      <c r="H65" s="38" t="b">
        <v>0</v>
      </c>
      <c r="I65" s="39"/>
      <c r="J65" s="38"/>
      <c r="K65" s="39"/>
      <c r="L65" s="38"/>
      <c r="M65" s="39"/>
      <c r="N65" s="38"/>
      <c r="O65" s="33"/>
      <c r="P65" s="33"/>
      <c r="Q65" s="33"/>
      <c r="R65" s="33"/>
      <c r="S65" s="33"/>
      <c r="T65" s="33"/>
      <c r="U65" s="33"/>
      <c r="V65" s="33"/>
      <c r="W65" s="33"/>
    </row>
    <row r="66" spans="1:23" ht="15" x14ac:dyDescent="0.25">
      <c r="A66" s="37"/>
      <c r="B66" s="39"/>
      <c r="C66" s="41" t="s">
        <v>665</v>
      </c>
      <c r="D66" s="41" t="s">
        <v>666</v>
      </c>
      <c r="E66" s="41" t="s">
        <v>810</v>
      </c>
      <c r="F66" s="39"/>
      <c r="G66" s="39"/>
      <c r="H66" s="39" t="b">
        <v>0</v>
      </c>
      <c r="I66" s="39"/>
      <c r="J66" s="39"/>
      <c r="K66" s="39"/>
      <c r="L66" s="39"/>
      <c r="M66" s="39"/>
      <c r="N66" s="39"/>
      <c r="O66" s="33"/>
      <c r="P66" s="33"/>
      <c r="Q66" s="33"/>
      <c r="R66" s="33"/>
      <c r="S66" s="33"/>
      <c r="T66" s="33"/>
      <c r="U66" s="33"/>
      <c r="V66" s="33"/>
      <c r="W66" s="33"/>
    </row>
    <row r="67" spans="1:23" ht="15" x14ac:dyDescent="0.25">
      <c r="A67" s="37"/>
      <c r="B67" s="38"/>
      <c r="C67" s="41" t="s">
        <v>668</v>
      </c>
      <c r="D67" s="40" t="s">
        <v>584</v>
      </c>
      <c r="E67" s="41"/>
      <c r="F67" s="38"/>
      <c r="G67" s="39"/>
      <c r="H67" s="38" t="b">
        <v>1</v>
      </c>
      <c r="I67" s="39"/>
      <c r="J67" s="38"/>
      <c r="K67" s="39"/>
      <c r="L67" s="38"/>
      <c r="M67" s="39"/>
      <c r="N67" s="38"/>
      <c r="O67" s="33"/>
      <c r="P67" s="33"/>
      <c r="Q67" s="33"/>
      <c r="R67" s="33"/>
      <c r="S67" s="33"/>
      <c r="T67" s="33"/>
      <c r="U67" s="33"/>
      <c r="V67" s="33"/>
      <c r="W67" s="33"/>
    </row>
    <row r="68" spans="1:23" ht="15" x14ac:dyDescent="0.25">
      <c r="A68" s="37"/>
      <c r="B68" s="39"/>
      <c r="C68" s="41" t="s">
        <v>669</v>
      </c>
      <c r="D68" s="41" t="s">
        <v>584</v>
      </c>
      <c r="E68" s="41"/>
      <c r="F68" s="39" t="s">
        <v>811</v>
      </c>
      <c r="G68" s="39"/>
      <c r="H68" s="39" t="b">
        <v>1</v>
      </c>
      <c r="I68" s="39"/>
      <c r="J68" s="39"/>
      <c r="K68" s="39"/>
      <c r="L68" s="39"/>
      <c r="M68" s="39"/>
      <c r="N68" s="39"/>
      <c r="O68" s="33"/>
      <c r="P68" s="33"/>
      <c r="Q68" s="33"/>
      <c r="R68" s="33"/>
      <c r="S68" s="33"/>
      <c r="T68" s="33"/>
      <c r="U68" s="33"/>
      <c r="V68" s="33"/>
      <c r="W68" s="33"/>
    </row>
    <row r="69" spans="1:23" ht="15" x14ac:dyDescent="0.25">
      <c r="A69" s="37"/>
      <c r="B69" s="38"/>
      <c r="C69" s="41" t="s">
        <v>670</v>
      </c>
      <c r="D69" s="40" t="s">
        <v>196</v>
      </c>
      <c r="E69" s="41" t="s">
        <v>195</v>
      </c>
      <c r="F69" s="38" t="s">
        <v>812</v>
      </c>
      <c r="G69" s="39"/>
      <c r="H69" s="38" t="b">
        <v>1</v>
      </c>
      <c r="I69" s="39"/>
      <c r="J69" s="38"/>
      <c r="K69" s="39"/>
      <c r="L69" s="38"/>
      <c r="M69" s="39"/>
      <c r="N69" s="38"/>
      <c r="O69" s="33"/>
      <c r="P69" s="33"/>
      <c r="Q69" s="33"/>
      <c r="R69" s="33"/>
      <c r="S69" s="33"/>
      <c r="T69" s="33"/>
      <c r="U69" s="33"/>
      <c r="V69" s="33"/>
      <c r="W69" s="33"/>
    </row>
    <row r="70" spans="1:23" ht="15" x14ac:dyDescent="0.25">
      <c r="A70" s="37"/>
      <c r="B70" s="39"/>
      <c r="C70" s="41" t="s">
        <v>671</v>
      </c>
      <c r="D70" s="41" t="s">
        <v>201</v>
      </c>
      <c r="E70" s="41"/>
      <c r="F70" s="39"/>
      <c r="G70" s="39"/>
      <c r="H70" s="39" t="b">
        <v>0</v>
      </c>
      <c r="I70" s="39"/>
      <c r="J70" s="39"/>
      <c r="K70" s="39"/>
      <c r="L70" s="39"/>
      <c r="M70" s="39"/>
      <c r="N70" s="39"/>
      <c r="O70" s="33"/>
      <c r="P70" s="33"/>
      <c r="Q70" s="33"/>
      <c r="R70" s="33"/>
      <c r="S70" s="33"/>
      <c r="T70" s="33"/>
      <c r="U70" s="33"/>
      <c r="V70" s="33"/>
      <c r="W70" s="33"/>
    </row>
    <row r="71" spans="1:23" ht="15" x14ac:dyDescent="0.25">
      <c r="A71" s="37"/>
      <c r="B71" s="38"/>
      <c r="C71" s="41" t="s">
        <v>672</v>
      </c>
      <c r="D71" s="40" t="s">
        <v>201</v>
      </c>
      <c r="E71" s="41"/>
      <c r="F71" s="38"/>
      <c r="G71" s="39"/>
      <c r="H71" s="38" t="b">
        <v>0</v>
      </c>
      <c r="I71" s="39"/>
      <c r="J71" s="38"/>
      <c r="K71" s="39"/>
      <c r="L71" s="38"/>
      <c r="M71" s="39"/>
      <c r="N71" s="38"/>
      <c r="O71" s="33"/>
      <c r="P71" s="33"/>
      <c r="Q71" s="33"/>
      <c r="R71" s="33"/>
      <c r="S71" s="33"/>
      <c r="T71" s="33"/>
      <c r="U71" s="33"/>
      <c r="V71" s="33"/>
      <c r="W71" s="33"/>
    </row>
    <row r="72" spans="1:23" ht="15" x14ac:dyDescent="0.25">
      <c r="A72" s="37"/>
      <c r="B72" s="39"/>
      <c r="C72" s="41" t="s">
        <v>722</v>
      </c>
      <c r="D72" s="41" t="s">
        <v>258</v>
      </c>
      <c r="E72" s="43" t="s">
        <v>410</v>
      </c>
      <c r="F72" s="39"/>
      <c r="G72" s="39"/>
      <c r="H72" s="39" t="b">
        <v>0</v>
      </c>
      <c r="I72" s="39"/>
      <c r="J72" s="39"/>
      <c r="K72" s="39"/>
      <c r="L72" s="39"/>
      <c r="M72" s="39"/>
      <c r="N72" s="39"/>
      <c r="O72" s="33"/>
      <c r="P72" s="33"/>
      <c r="Q72" s="33"/>
      <c r="R72" s="33"/>
      <c r="S72" s="33"/>
      <c r="T72" s="33"/>
      <c r="U72" s="33"/>
      <c r="V72" s="33"/>
      <c r="W72" s="33"/>
    </row>
    <row r="73" spans="1:23" ht="15" x14ac:dyDescent="0.25">
      <c r="A73" s="37"/>
      <c r="B73" s="38"/>
      <c r="C73" s="41" t="s">
        <v>723</v>
      </c>
      <c r="D73" s="40" t="s">
        <v>258</v>
      </c>
      <c r="E73" s="43" t="s">
        <v>724</v>
      </c>
      <c r="F73" s="38"/>
      <c r="G73" s="39"/>
      <c r="H73" s="38" t="b">
        <v>0</v>
      </c>
      <c r="I73" s="39"/>
      <c r="J73" s="38"/>
      <c r="K73" s="39"/>
      <c r="L73" s="38"/>
      <c r="M73" s="39"/>
      <c r="N73" s="38"/>
      <c r="O73" s="33"/>
      <c r="P73" s="33"/>
      <c r="Q73" s="33"/>
      <c r="R73" s="33"/>
      <c r="S73" s="33"/>
      <c r="T73" s="33"/>
      <c r="U73" s="33"/>
      <c r="V73" s="33"/>
      <c r="W73" s="33"/>
    </row>
    <row r="74" spans="1:23" ht="15" x14ac:dyDescent="0.25">
      <c r="A74" s="37"/>
      <c r="B74" s="39"/>
      <c r="C74" s="41" t="s">
        <v>725</v>
      </c>
      <c r="D74" s="41" t="s">
        <v>258</v>
      </c>
      <c r="E74" s="43" t="s">
        <v>726</v>
      </c>
      <c r="F74" s="39"/>
      <c r="G74" s="39"/>
      <c r="H74" s="39" t="b">
        <v>0</v>
      </c>
      <c r="I74" s="39"/>
      <c r="J74" s="39"/>
      <c r="K74" s="39"/>
      <c r="L74" s="39"/>
      <c r="M74" s="39"/>
      <c r="N74" s="39"/>
      <c r="O74" s="33"/>
      <c r="P74" s="33"/>
      <c r="Q74" s="33"/>
      <c r="R74" s="33"/>
      <c r="S74" s="33"/>
      <c r="T74" s="33"/>
      <c r="U74" s="33"/>
      <c r="V74" s="33"/>
      <c r="W74" s="33"/>
    </row>
    <row r="75" spans="1:23" ht="15" x14ac:dyDescent="0.25">
      <c r="A75" s="37"/>
      <c r="B75" s="38"/>
      <c r="C75" s="41" t="s">
        <v>727</v>
      </c>
      <c r="D75" s="40" t="s">
        <v>258</v>
      </c>
      <c r="E75" s="43" t="s">
        <v>728</v>
      </c>
      <c r="F75" s="38"/>
      <c r="G75" s="39"/>
      <c r="H75" s="38" t="b">
        <v>0</v>
      </c>
      <c r="I75" s="39"/>
      <c r="J75" s="38"/>
      <c r="K75" s="39"/>
      <c r="L75" s="38"/>
      <c r="M75" s="39"/>
      <c r="N75" s="38"/>
      <c r="O75" s="33"/>
      <c r="P75" s="33"/>
      <c r="Q75" s="33"/>
      <c r="R75" s="33"/>
      <c r="S75" s="33"/>
      <c r="T75" s="33"/>
      <c r="U75" s="33"/>
      <c r="V75" s="33"/>
      <c r="W75" s="33"/>
    </row>
    <row r="76" spans="1:23" ht="15" x14ac:dyDescent="0.25">
      <c r="A76" s="37"/>
      <c r="B76" s="39"/>
      <c r="C76" s="41" t="s">
        <v>729</v>
      </c>
      <c r="D76" s="41" t="s">
        <v>258</v>
      </c>
      <c r="E76" s="43" t="s">
        <v>730</v>
      </c>
      <c r="F76" s="39"/>
      <c r="G76" s="39"/>
      <c r="H76" s="39" t="b">
        <v>0</v>
      </c>
      <c r="I76" s="39"/>
      <c r="J76" s="39"/>
      <c r="K76" s="39"/>
      <c r="L76" s="39"/>
      <c r="M76" s="39"/>
      <c r="N76" s="39"/>
      <c r="O76" s="33"/>
      <c r="P76" s="33"/>
      <c r="Q76" s="33"/>
      <c r="R76" s="33"/>
      <c r="S76" s="33"/>
      <c r="T76" s="33"/>
      <c r="U76" s="33"/>
      <c r="V76" s="33"/>
      <c r="W76" s="33"/>
    </row>
    <row r="77" spans="1:23" ht="15" x14ac:dyDescent="0.25">
      <c r="A77" s="37"/>
      <c r="B77" s="38"/>
      <c r="C77" s="41" t="s">
        <v>731</v>
      </c>
      <c r="D77" s="40" t="s">
        <v>258</v>
      </c>
      <c r="E77" s="43" t="s">
        <v>732</v>
      </c>
      <c r="F77" s="38"/>
      <c r="G77" s="39"/>
      <c r="H77" s="38" t="b">
        <v>0</v>
      </c>
      <c r="I77" s="39"/>
      <c r="J77" s="38"/>
      <c r="K77" s="39"/>
      <c r="L77" s="38"/>
      <c r="M77" s="39"/>
      <c r="N77" s="38"/>
      <c r="O77" s="33"/>
      <c r="P77" s="33"/>
      <c r="Q77" s="33"/>
      <c r="R77" s="33"/>
      <c r="S77" s="33"/>
      <c r="T77" s="33"/>
      <c r="U77" s="33"/>
      <c r="V77" s="33"/>
      <c r="W77" s="3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ebf29b3f-1e51-457b-ae0c-362182e58074" ContentTypeId="0x010100D5C1E13D20A8554992C24F7EE470E023" PreviousValue="false"/>
</file>

<file path=customXml/item4.xml><?xml version="1.0" encoding="utf-8"?>
<p:properties xmlns:p="http://schemas.microsoft.com/office/2006/metadata/properties" xmlns:xsi="http://www.w3.org/2001/XMLSchema-instance" xmlns:pc="http://schemas.microsoft.com/office/infopath/2007/PartnerControls">
  <documentManagement>
    <TaxCatchAll xmlns="9253c88c-d550-4ff1-afdc-d5dc691f60b0">
      <Value>2</Value>
      <Value>1</Value>
    </TaxCatchAll>
    <lcf76f155ced4ddcb4097134ff3c332f xmlns="8305e0ef-4594-4ef8-9301-f9e90fc25e48">
      <Terms xmlns="http://schemas.microsoft.com/office/infopath/2007/PartnerControls"/>
    </lcf76f155ced4ddcb4097134ff3c332f>
    <mb22360ee3e3407ca28e907eb3b7ca6b xmlns="9253c88c-d550-4ff1-afdc-d5dc691f60b0">
      <Terms xmlns="http://schemas.microsoft.com/office/infopath/2007/PartnerControls">
        <TermInfo xmlns="http://schemas.microsoft.com/office/infopath/2007/PartnerControls">
          <TermName xmlns="http://schemas.microsoft.com/office/infopath/2007/PartnerControls">Draft</TermName>
          <TermId xmlns="http://schemas.microsoft.com/office/infopath/2007/PartnerControls">4dbd6f0d-7021-43d2-a391-03666245495e</TermId>
        </TermInfo>
      </Terms>
    </mb22360ee3e3407ca28e907eb3b7ca6b>
    <FormerEntity xmlns="3eaf6ec6-8a21-4b7f-8fb7-81d8f812d549">Ministry of Health</FormerEntity>
    <HNZOwner xmlns="9253c88c-d550-4ff1-afdc-d5dc691f60b0">
      <UserInfo>
        <DisplayName/>
        <AccountId xsi:nil="true"/>
        <AccountType/>
      </UserInfo>
    </HNZOwner>
    <ka9b207035bc48f2a4f6a2bfed7195b7 xmlns="9253c88c-d550-4ff1-afdc-d5dc691f60b0">
      <Terms xmlns="http://schemas.microsoft.com/office/infopath/2007/PartnerControls">
        <TermInfo xmlns="http://schemas.microsoft.com/office/infopath/2007/PartnerControls">
          <TermName xmlns="http://schemas.microsoft.com/office/infopath/2007/PartnerControls">FIN Project Management Office</TermName>
          <TermId xmlns="http://schemas.microsoft.com/office/infopath/2007/PartnerControls">d1ad7999-6860-43dd-82e2-e696a33f4524</TermId>
        </TermInfo>
      </Terms>
    </ka9b207035bc48f2a4f6a2bfed7195b7>
    <HNZReviewDate xmlns="9253c88c-d550-4ff1-afdc-d5dc691f60b0" xsi:nil="true"/>
    <f3e7f0a218d8438586e2a8545792c0ef xmlns="9253c88c-d550-4ff1-afdc-d5dc691f60b0">
      <Terms xmlns="http://schemas.microsoft.com/office/infopath/2007/PartnerControls"/>
    </f3e7f0a218d8438586e2a8545792c0ef>
    <p7110e5651294189b89368865130750f xmlns="9253c88c-d550-4ff1-afdc-d5dc691f60b0">
      <Terms xmlns="http://schemas.microsoft.com/office/infopath/2007/PartnerControls"/>
    </p7110e5651294189b89368865130750f>
    <p777f0da518742b188a1f7fd5ee91810 xmlns="9253c88c-d550-4ff1-afdc-d5dc691f60b0">
      <Terms xmlns="http://schemas.microsoft.com/office/infopath/2007/PartnerControls"/>
    </p777f0da518742b188a1f7fd5ee91810>
    <_dlc_DocId xmlns="3eaf6ec6-8a21-4b7f-8fb7-81d8f812d549">001009-2105899026-62005</_dlc_DocId>
    <_dlc_DocIdUrl xmlns="3eaf6ec6-8a21-4b7f-8fb7-81d8f812d549">
      <Url>https://hauoraaotearoa.sharepoint.com/sites/001009/_layouts/15/DocIdRedir.aspx?ID=001009-2105899026-62005</Url>
      <Description>001009-2105899026-62005</Description>
    </_dlc_DocIdUrl>
  </documentManagement>
</p:properties>
</file>

<file path=customXml/item5.xml><?xml version="1.0" encoding="utf-8"?>
<ct:contentTypeSchema xmlns:ct="http://schemas.microsoft.com/office/2006/metadata/contentType" xmlns:ma="http://schemas.microsoft.com/office/2006/metadata/properties/metaAttributes" ct:_="" ma:_="" ma:contentTypeName="Pikau document" ma:contentTypeID="0x010100D5C1E13D20A8554992C24F7EE470E02300227E07C4AEF57D4AA3F7B764A2C54E77" ma:contentTypeVersion="21" ma:contentTypeDescription="Create a new document." ma:contentTypeScope="" ma:versionID="3fd53c40e827be25bc282b408ac713e4">
  <xsd:schema xmlns:xsd="http://www.w3.org/2001/XMLSchema" xmlns:xs="http://www.w3.org/2001/XMLSchema" xmlns:p="http://schemas.microsoft.com/office/2006/metadata/properties" xmlns:ns1="http://schemas.microsoft.com/sharepoint/v3" xmlns:ns2="9253c88c-d550-4ff1-afdc-d5dc691f60b0" xmlns:ns3="3eaf6ec6-8a21-4b7f-8fb7-81d8f812d549" xmlns:ns4="8305e0ef-4594-4ef8-9301-f9e90fc25e48" targetNamespace="http://schemas.microsoft.com/office/2006/metadata/properties" ma:root="true" ma:fieldsID="ca349656f61945158660e5d8def928bb" ns1:_="" ns2:_="" ns3:_="" ns4:_="">
    <xsd:import namespace="http://schemas.microsoft.com/sharepoint/v3"/>
    <xsd:import namespace="9253c88c-d550-4ff1-afdc-d5dc691f60b0"/>
    <xsd:import namespace="3eaf6ec6-8a21-4b7f-8fb7-81d8f812d549"/>
    <xsd:import namespace="8305e0ef-4594-4ef8-9301-f9e90fc25e48"/>
    <xsd:element name="properties">
      <xsd:complexType>
        <xsd:sequence>
          <xsd:element name="documentManagement">
            <xsd:complexType>
              <xsd:all>
                <xsd:element ref="ns2:TaxCatchAll" minOccurs="0"/>
                <xsd:element ref="ns3:_dlc_DocId" minOccurs="0"/>
                <xsd:element ref="ns3:_dlc_DocIdUrl" minOccurs="0"/>
                <xsd:element ref="ns3:_dlc_DocIdPersistId" minOccurs="0"/>
                <xsd:element ref="ns2:TaxCatchAllLabel" minOccurs="0"/>
                <xsd:element ref="ns2:ka9b207035bc48f2a4f6a2bfed7195b7" minOccurs="0"/>
                <xsd:element ref="ns1:Name" minOccurs="0"/>
                <xsd:element ref="ns2:f3e7f0a218d8438586e2a8545792c0ef" minOccurs="0"/>
                <xsd:element ref="ns2:mb22360ee3e3407ca28e907eb3b7ca6b" minOccurs="0"/>
                <xsd:element ref="ns2:HNZOwner" minOccurs="0"/>
                <xsd:element ref="ns2:p7110e5651294189b89368865130750f" minOccurs="0"/>
                <xsd:element ref="ns2:p777f0da518742b188a1f7fd5ee91810" minOccurs="0"/>
                <xsd:element ref="ns2:HNZReviewDate" minOccurs="0"/>
                <xsd:element ref="ns3:FormerEntity" minOccurs="0"/>
                <xsd:element ref="ns4:MediaServiceMetadata" minOccurs="0"/>
                <xsd:element ref="ns4:MediaServiceFastMetadata" minOccurs="0"/>
                <xsd:element ref="ns4:MediaServiceSearchProperties" minOccurs="0"/>
                <xsd:element ref="ns4:MediaServiceObjectDetectorVersions" minOccurs="0"/>
                <xsd:element ref="ns4:MediaServiceDateTaken" minOccurs="0"/>
                <xsd:element ref="ns4:MediaServiceGenerationTime" minOccurs="0"/>
                <xsd:element ref="ns4:MediaServiceEventHashCode" minOccurs="0"/>
                <xsd:element ref="ns4:MediaLengthInSeconds" minOccurs="0"/>
                <xsd:element ref="ns4:lcf76f155ced4ddcb4097134ff3c332f" minOccurs="0"/>
                <xsd:element ref="ns4:MediaServiceOCR" minOccurs="0"/>
                <xsd:element ref="ns4:MediaServiceLocation"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ame" ma:index="15" nillable="true" ma:displayName="Account" ma:internalName="Na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53c88c-d550-4ff1-afdc-d5dc691f60b0" elementFormDefault="qualified">
    <xsd:import namespace="http://schemas.microsoft.com/office/2006/documentManagement/types"/>
    <xsd:import namespace="http://schemas.microsoft.com/office/infopath/2007/PartnerControls"/>
    <xsd:element name="TaxCatchAll" ma:index="5" nillable="true" ma:displayName="Taxonomy Catch All Column" ma:hidden="true" ma:list="{04213d29-592d-464a-8b06-04519e26e21d}" ma:internalName="TaxCatchAll" ma:showField="CatchAllData" ma:web="3eaf6ec6-8a21-4b7f-8fb7-81d8f812d549">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04213d29-592d-464a-8b06-04519e26e21d}" ma:internalName="TaxCatchAllLabel" ma:readOnly="true" ma:showField="CatchAllDataLabel" ma:web="3eaf6ec6-8a21-4b7f-8fb7-81d8f812d549">
      <xsd:complexType>
        <xsd:complexContent>
          <xsd:extension base="dms:MultiChoiceLookup">
            <xsd:sequence>
              <xsd:element name="Value" type="dms:Lookup" maxOccurs="unbounded" minOccurs="0" nillable="true"/>
            </xsd:sequence>
          </xsd:extension>
        </xsd:complexContent>
      </xsd:complexType>
    </xsd:element>
    <xsd:element name="ka9b207035bc48f2a4f6a2bfed7195b7" ma:index="13" nillable="true" ma:taxonomy="true" ma:internalName="ka9b207035bc48f2a4f6a2bfed7195b7" ma:taxonomyFieldName="BusinessFunction" ma:displayName="Business Function" ma:default="2;#FIN Project Management Office|d1ad7999-6860-43dd-82e2-e696a33f4524" ma:fieldId="{4a9b2070-35bc-48f2-a4f6-a2bfed7195b7}" ma:sspId="ebf29b3f-1e51-457b-ae0c-362182e58074" ma:termSetId="411f0e66-67f8-40f8-97cc-417744de1cc0" ma:anchorId="00000000-0000-0000-0000-000000000000" ma:open="false" ma:isKeyword="false">
      <xsd:complexType>
        <xsd:sequence>
          <xsd:element ref="pc:Terms" minOccurs="0" maxOccurs="1"/>
        </xsd:sequence>
      </xsd:complexType>
    </xsd:element>
    <xsd:element name="f3e7f0a218d8438586e2a8545792c0ef" ma:index="16" nillable="true" ma:taxonomy="true" ma:internalName="f3e7f0a218d8438586e2a8545792c0ef" ma:taxonomyFieldName="HNZTopic" ma:displayName="Topic" ma:default="" ma:fieldId="{f3e7f0a2-18d8-4385-86e2-a8545792c0ef}" ma:taxonomyMulti="true" ma:sspId="ebf29b3f-1e51-457b-ae0c-362182e58074" ma:termSetId="6fc62df7-d99b-474b-a41d-680956366171" ma:anchorId="00000000-0000-0000-0000-000000000000" ma:open="true" ma:isKeyword="false">
      <xsd:complexType>
        <xsd:sequence>
          <xsd:element ref="pc:Terms" minOccurs="0" maxOccurs="1"/>
        </xsd:sequence>
      </xsd:complexType>
    </xsd:element>
    <xsd:element name="mb22360ee3e3407ca28e907eb3b7ca6b" ma:index="18" nillable="true" ma:taxonomy="true" ma:internalName="mb22360ee3e3407ca28e907eb3b7ca6b" ma:taxonomyFieldName="HNZStatus" ma:displayName="Status" ma:default="1;#Draft|4dbd6f0d-7021-43d2-a391-03666245495e" ma:fieldId="{6b22360e-e3e3-407c-a28e-907eb3b7ca6b}" ma:sspId="ebf29b3f-1e51-457b-ae0c-362182e58074" ma:termSetId="24ac87aa-3fa8-4daa-a27b-a4701436e34e" ma:anchorId="00000000-0000-0000-0000-000000000000" ma:open="false" ma:isKeyword="false">
      <xsd:complexType>
        <xsd:sequence>
          <xsd:element ref="pc:Terms" minOccurs="0" maxOccurs="1"/>
        </xsd:sequence>
      </xsd:complexType>
    </xsd:element>
    <xsd:element name="HNZOwner" ma:index="20" nillable="true" ma:displayName="Owner" ma:internalName="HNZ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7110e5651294189b89368865130750f" ma:index="21" nillable="true" ma:taxonomy="true" ma:internalName="p7110e5651294189b89368865130750f" ma:taxonomyFieldName="HNZRegion" ma:displayName="Region" ma:fieldId="{97110e56-5129-4189-b893-68865130750f}" ma:taxonomyMulti="true" ma:sspId="ebf29b3f-1e51-457b-ae0c-362182e58074" ma:termSetId="e78d2f76-fe8a-4030-92ee-8b1f3410a63d" ma:anchorId="00000000-0000-0000-0000-000000000000" ma:open="false" ma:isKeyword="false">
      <xsd:complexType>
        <xsd:sequence>
          <xsd:element ref="pc:Terms" minOccurs="0" maxOccurs="1"/>
        </xsd:sequence>
      </xsd:complexType>
    </xsd:element>
    <xsd:element name="p777f0da518742b188a1f7fd5ee91810" ma:index="23" nillable="true" ma:taxonomy="true" ma:internalName="p777f0da518742b188a1f7fd5ee91810" ma:taxonomyFieldName="HNZLocalArea" ma:displayName="Local Area" ma:fieldId="{9777f0da-5187-42b1-88a1-f7fd5ee91810}" ma:taxonomyMulti="true" ma:sspId="ebf29b3f-1e51-457b-ae0c-362182e58074" ma:termSetId="067abcc4-089e-4bdf-badc-3de5e533a37b" ma:anchorId="00000000-0000-0000-0000-000000000000" ma:open="false" ma:isKeyword="false">
      <xsd:complexType>
        <xsd:sequence>
          <xsd:element ref="pc:Terms" minOccurs="0" maxOccurs="1"/>
        </xsd:sequence>
      </xsd:complexType>
    </xsd:element>
    <xsd:element name="HNZReviewDate" ma:index="25" nillable="true" ma:displayName="Review Date" ma:description="Review Date for content" ma:format="DateOnly" ma:internalName="HNZReview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eaf6ec6-8a21-4b7f-8fb7-81d8f812d549"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dexed="true"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FormerEntity" ma:index="26" nillable="true" ma:displayName="Former Entity" ma:default="Ministry of Health" ma:internalName="FormerEntit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05e0ef-4594-4ef8-9301-f9e90fc25e48"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DateTaken" ma:index="31" nillable="true" ma:displayName="MediaServiceDateTaken" ma:hidden="true" ma:indexed="true" ma:internalName="MediaServiceDateTaken" ma:readOnly="true">
      <xsd:simpleType>
        <xsd:restriction base="dms:Text"/>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lcf76f155ced4ddcb4097134ff3c332f" ma:index="36" nillable="true" ma:taxonomy="true" ma:internalName="lcf76f155ced4ddcb4097134ff3c332f" ma:taxonomyFieldName="MediaServiceImageTags" ma:displayName="Image Tags" ma:readOnly="false" ma:fieldId="{5cf76f15-5ced-4ddc-b409-7134ff3c332f}" ma:taxonomyMulti="true" ma:sspId="ebf29b3f-1e51-457b-ae0c-362182e58074" ma:termSetId="09814cd3-568e-fe90-9814-8d621ff8fb84" ma:anchorId="fba54fb3-c3e1-fe81-a776-ca4b69148c4d" ma:open="true" ma:isKeyword="false">
      <xsd:complexType>
        <xsd:sequence>
          <xsd:element ref="pc:Terms" minOccurs="0" maxOccurs="1"/>
        </xsd:sequence>
      </xsd:complexType>
    </xsd:element>
    <xsd:element name="MediaServiceOCR" ma:index="37" nillable="true" ma:displayName="Extracted Text" ma:internalName="MediaServiceOCR" ma:readOnly="true">
      <xsd:simpleType>
        <xsd:restriction base="dms:Note">
          <xsd:maxLength value="255"/>
        </xsd:restriction>
      </xsd:simpleType>
    </xsd:element>
    <xsd:element name="MediaServiceLocation" ma:index="38" nillable="true" ma:displayName="Location" ma:description="" ma:indexed="true" ma:internalName="MediaServiceLocation" ma:readOnly="true">
      <xsd:simpleType>
        <xsd:restriction base="dms:Text"/>
      </xsd:simpleType>
    </xsd:element>
    <xsd:element name="MediaServiceBillingMetadata" ma:index="3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3B466E-D2A8-4C66-BF3A-41FA819FF28A}">
  <ds:schemaRefs>
    <ds:schemaRef ds:uri="http://schemas.microsoft.com/sharepoint/v3/contenttype/forms"/>
  </ds:schemaRefs>
</ds:datastoreItem>
</file>

<file path=customXml/itemProps2.xml><?xml version="1.0" encoding="utf-8"?>
<ds:datastoreItem xmlns:ds="http://schemas.openxmlformats.org/officeDocument/2006/customXml" ds:itemID="{01CBADF1-8A87-4DEB-9F91-D77A4D423F22}">
  <ds:schemaRefs>
    <ds:schemaRef ds:uri="http://schemas.microsoft.com/sharepoint/events"/>
  </ds:schemaRefs>
</ds:datastoreItem>
</file>

<file path=customXml/itemProps3.xml><?xml version="1.0" encoding="utf-8"?>
<ds:datastoreItem xmlns:ds="http://schemas.openxmlformats.org/officeDocument/2006/customXml" ds:itemID="{F47EB7C9-4755-41A3-B636-C6B6F3BD74A2}">
  <ds:schemaRefs>
    <ds:schemaRef ds:uri="Microsoft.SharePoint.Taxonomy.ContentTypeSync"/>
  </ds:schemaRefs>
</ds:datastoreItem>
</file>

<file path=customXml/itemProps4.xml><?xml version="1.0" encoding="utf-8"?>
<ds:datastoreItem xmlns:ds="http://schemas.openxmlformats.org/officeDocument/2006/customXml" ds:itemID="{455F62C8-10A4-4786-B764-A251D92BA080}">
  <ds:schemaRefs>
    <ds:schemaRef ds:uri="http://schemas.microsoft.com/office/2006/documentManagement/types"/>
    <ds:schemaRef ds:uri="http://purl.org/dc/dcmitype/"/>
    <ds:schemaRef ds:uri="http://purl.org/dc/elements/1.1/"/>
    <ds:schemaRef ds:uri="http://www.w3.org/XML/1998/namespace"/>
    <ds:schemaRef ds:uri="http://schemas.microsoft.com/office/2006/metadata/properties"/>
    <ds:schemaRef ds:uri="http://schemas.microsoft.com/office/infopath/2007/PartnerControls"/>
    <ds:schemaRef ds:uri="http://purl.org/dc/terms/"/>
    <ds:schemaRef ds:uri="http://schemas.openxmlformats.org/package/2006/metadata/core-properties"/>
    <ds:schemaRef ds:uri="8305e0ef-4594-4ef8-9301-f9e90fc25e48"/>
    <ds:schemaRef ds:uri="3eaf6ec6-8a21-4b7f-8fb7-81d8f812d549"/>
    <ds:schemaRef ds:uri="9253c88c-d550-4ff1-afdc-d5dc691f60b0"/>
    <ds:schemaRef ds:uri="http://schemas.microsoft.com/sharepoint/v3"/>
  </ds:schemaRefs>
</ds:datastoreItem>
</file>

<file path=customXml/itemProps5.xml><?xml version="1.0" encoding="utf-8"?>
<ds:datastoreItem xmlns:ds="http://schemas.openxmlformats.org/officeDocument/2006/customXml" ds:itemID="{53FB8C69-E8B6-454B-B43D-EBB3D5E190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53c88c-d550-4ff1-afdc-d5dc691f60b0"/>
    <ds:schemaRef ds:uri="3eaf6ec6-8a21-4b7f-8fb7-81d8f812d549"/>
    <ds:schemaRef ds:uri="8305e0ef-4594-4ef8-9301-f9e90fc25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Mapping_Status</vt:lpstr>
      <vt:lpstr>Questions</vt:lpstr>
      <vt:lpstr>Contracts_Sample_Data_1804</vt:lpstr>
      <vt:lpstr>Contract Type Nos</vt:lpstr>
      <vt:lpstr>Additionalinfo_22072025</vt:lpstr>
      <vt:lpstr>Additional information-1July24</vt:lpstr>
      <vt:lpstr>5-Jul-24 AddlinfoDel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Yogish Gowda</dc:creator>
  <cp:keywords/>
  <dc:description/>
  <cp:lastModifiedBy>Emma de Wit</cp:lastModifiedBy>
  <cp:revision/>
  <dcterms:created xsi:type="dcterms:W3CDTF">2024-04-09T22:29:22Z</dcterms:created>
  <dcterms:modified xsi:type="dcterms:W3CDTF">2025-12-09T22:59:34Z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0x010100D5C1E13D20A8554992C24F7EE470E02300227E07C4AEF57D4AA3F7B764A2C54E77</vt:lpwstr>
  </property>
  <property fmtid="{D5CDD505-2E9C-101B-9397-08002B2CF9AE}" pid="3" name="MediaServiceImageTags">
    <vt:lpwstr/>
  </property>
  <property fmtid="{D5CDD505-2E9C-101B-9397-08002B2CF9AE}" pid="4" name="BusinessFunction">
    <vt:lpwstr>2;#FIN Project Management Office|d1ad7999-6860-43dd-82e2-e696a33f4524</vt:lpwstr>
  </property>
  <property fmtid="{D5CDD505-2E9C-101B-9397-08002B2CF9AE}" pid="5" name="LikelyFundingModel">
    <vt:lpwstr/>
  </property>
  <property fmtid="{D5CDD505-2E9C-101B-9397-08002B2CF9AE}" pid="6" name="Comment">
    <vt:lpwstr/>
  </property>
  <property fmtid="{D5CDD505-2E9C-101B-9397-08002B2CF9AE}" pid="7" name="HNZStatus">
    <vt:lpwstr>1;#Draft|4dbd6f0d-7021-43d2-a391-03666245495e</vt:lpwstr>
  </property>
  <property fmtid="{D5CDD505-2E9C-101B-9397-08002B2CF9AE}" pid="8" name="Notes0">
    <vt:lpwstr/>
  </property>
  <property fmtid="{D5CDD505-2E9C-101B-9397-08002B2CF9AE}" pid="9" name="Sign-off status">
    <vt:lpwstr/>
  </property>
  <property fmtid="{D5CDD505-2E9C-101B-9397-08002B2CF9AE}" pid="10" name="_dlc_DocIdItemGuid">
    <vt:lpwstr>f8533490-4fa3-447b-86ff-b73d65fd0180</vt:lpwstr>
  </property>
  <property fmtid="{D5CDD505-2E9C-101B-9397-08002B2CF9AE}" pid="11" name="CreatedByText">
    <vt:lpwstr>Nutan Jadhav</vt:lpwstr>
  </property>
  <property fmtid="{D5CDD505-2E9C-101B-9397-08002B2CF9AE}" pid="12" name="ModifiedByText">
    <vt:lpwstr>Jenny McCarthy</vt:lpwstr>
  </property>
  <property fmtid="{D5CDD505-2E9C-101B-9397-08002B2CF9AE}" pid="13" name="_ExtendedDescription">
    <vt:lpwstr/>
  </property>
  <property fmtid="{D5CDD505-2E9C-101B-9397-08002B2CF9AE}" pid="14" name="HNZLocalArea">
    <vt:lpwstr/>
  </property>
  <property fmtid="{D5CDD505-2E9C-101B-9397-08002B2CF9AE}" pid="15" name="Phase">
    <vt:lpwstr/>
  </property>
  <property fmtid="{D5CDD505-2E9C-101B-9397-08002B2CF9AE}" pid="16" name="DocStatus">
    <vt:lpwstr>Draft</vt:lpwstr>
  </property>
  <property fmtid="{D5CDD505-2E9C-101B-9397-08002B2CF9AE}" pid="17" name="ContractName">
    <vt:lpwstr/>
  </property>
  <property fmtid="{D5CDD505-2E9C-101B-9397-08002B2CF9AE}" pid="18" name="HNZRegion">
    <vt:lpwstr/>
  </property>
  <property fmtid="{D5CDD505-2E9C-101B-9397-08002B2CF9AE}" pid="19" name="KeyDocument">
    <vt:lpwstr/>
  </property>
  <property fmtid="{D5CDD505-2E9C-101B-9397-08002B2CF9AE}" pid="20" name="HNZTopic">
    <vt:lpwstr/>
  </property>
</Properties>
</file>